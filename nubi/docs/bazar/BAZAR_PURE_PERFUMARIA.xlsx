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 Bazar" sheetId="1" r:id="rId5"/>
    <sheet state="visible" name="Vendas" sheetId="2" r:id="rId6"/>
    <sheet state="visible" name="WhatsApp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5">
      <text>
        <t xml:space="preserve">Calcula automaticamente o preço final usando o preço original e o desconto, mesmo quando o código do produto estiver vazio.</t>
      </text>
    </comment>
    <comment authorId="0" ref="K42">
      <text>
        <t xml:space="preserve">Calcula automaticamente o preço final usando o preço original e o desconto, mesmo quando o código do produto estiver vazio.</t>
      </text>
    </comment>
    <comment authorId="0" ref="K9">
      <text>
        <t xml:space="preserve">Calcula automaticamente o preço final usando o preço original e o desconto, mesmo quando o código do produto estiver vazio.</t>
      </text>
    </comment>
    <comment authorId="0" ref="K104">
      <text>
        <t xml:space="preserve">Calcula automaticamente o preço final usando o preço original e o desconto, mesmo quando o código do produto estiver vazio.</t>
      </text>
    </comment>
    <comment authorId="0" ref="K71">
      <text>
        <t xml:space="preserve">Calcula automaticamente o preço final usando o preço original e o desconto, mesmo quando o código do produto estiver vazio.</t>
      </text>
    </comment>
    <comment authorId="0" ref="K38">
      <text>
        <t xml:space="preserve">Calcula automaticamente o preço final usando o preço original e o desconto, mesmo quando o código do produto estiver vazio.</t>
      </text>
    </comment>
    <comment authorId="0" ref="K100">
      <text>
        <t xml:space="preserve">Calcula automaticamente o preço final usando o preço original e o desconto, mesmo quando o código do produto estiver vazio.</t>
      </text>
    </comment>
    <comment authorId="0" ref="K67">
      <text>
        <t xml:space="preserve">Calcula automaticamente o preço final usando o preço original e o desconto, mesmo quando o código do produto estiver vazio.</t>
      </text>
    </comment>
    <comment authorId="0" ref="K34">
      <text>
        <t xml:space="preserve">Calcula automaticamente o preço final usando o preço original e o desconto, mesmo quando o código do produto estiver vazio.</t>
      </text>
    </comment>
    <comment authorId="0" ref="K96">
      <text>
        <t xml:space="preserve">Calcula automaticamente o preço final usando o preço original e o desconto, mesmo quando o código do produto estiver vazio.</t>
      </text>
    </comment>
    <comment authorId="0" ref="K63">
      <text>
        <t xml:space="preserve">Calcula automaticamente o preço final usando o preço original e o desconto, mesmo quando o código do produto estiver vazio.</t>
      </text>
    </comment>
    <comment authorId="0" ref="K30">
      <text>
        <t xml:space="preserve">Calcula automaticamente o preço final usando o preço original e o desconto, mesmo quando o código do produto estiver vazio.</t>
      </text>
    </comment>
    <comment authorId="0" ref="K92">
      <text>
        <t xml:space="preserve">Calcula automaticamente o preço final usando o preço original e o desconto, mesmo quando o código do produto estiver vazio.</t>
      </text>
    </comment>
    <comment authorId="0" ref="K59">
      <text>
        <t xml:space="preserve">Calcula automaticamente o preço final usando o preço original e o desconto, mesmo quando o código do produto estiver vazio.</t>
      </text>
    </comment>
    <comment authorId="0" ref="K26">
      <text>
        <t xml:space="preserve">Calcula automaticamente o preço final usando o preço original e o desconto, mesmo quando o código do produto estiver vazio.</t>
      </text>
    </comment>
    <comment authorId="0" ref="K88">
      <text>
        <t xml:space="preserve">Calcula automaticamente o preço final usando o preço original e o desconto, mesmo quando o código do produto estiver vazio.</t>
      </text>
    </comment>
    <comment authorId="0" ref="K55">
      <text>
        <t xml:space="preserve">Calcula automaticamente o preço final usando o preço original e o desconto, mesmo quando o código do produto estiver vazio.</t>
      </text>
    </comment>
    <comment authorId="0" ref="K22">
      <text>
        <t xml:space="preserve">Calcula automaticamente o preço final usando o preço original e o desconto, mesmo quando o código do produto estiver vazio.</t>
      </text>
    </comment>
    <comment authorId="0" ref="K84">
      <text>
        <t xml:space="preserve">Calcula automaticamente o preço final usando o preço original e o desconto, mesmo quando o código do produto estiver vazio.</t>
      </text>
    </comment>
    <comment authorId="0" ref="K51">
      <text>
        <t xml:space="preserve">Calcula automaticamente o preço final usando o preço original e o desconto, mesmo quando o código do produto estiver vazio.</t>
      </text>
    </comment>
    <comment authorId="0" ref="K80">
      <text>
        <t xml:space="preserve">Calcula automaticamente o preço final usando o preço original e o desconto, mesmo quando o código do produto estiver vazio.</t>
      </text>
    </comment>
    <comment authorId="0" ref="K47">
      <text>
        <t xml:space="preserve">Calcula automaticamente o preço final usando o preço original e o desconto, mesmo quando o código do produto estiver vazio.</t>
      </text>
    </comment>
    <comment authorId="0" ref="K76">
      <text>
        <t xml:space="preserve">Calcula automaticamente o preço final usando o preço original e o desconto, mesmo quando o código do produto estiver vazio.</t>
      </text>
    </comment>
    <comment authorId="0" ref="K43">
      <text>
        <t xml:space="preserve">Calcula automaticamente o preço final usando o preço original e o desconto, mesmo quando o código do produto estiver vazio.</t>
      </text>
    </comment>
    <comment authorId="0" ref="K10">
      <text>
        <t xml:space="preserve">Calcula automaticamente o preço final usando o preço original e o desconto, mesmo quando o código do produto estiver vazio.</t>
      </text>
    </comment>
    <comment authorId="0" ref="K105">
      <text>
        <t xml:space="preserve">Calcula automaticamente o preço final usando o preço original e o desconto, mesmo quando o código do produto estiver vazio.</t>
      </text>
    </comment>
    <comment authorId="0" ref="K72">
      <text>
        <t xml:space="preserve">Calcula automaticamente o preço final usando o preço original e o desconto, mesmo quando o código do produto estiver vazio.</t>
      </text>
    </comment>
    <comment authorId="0" ref="K39">
      <text>
        <t xml:space="preserve">Calcula automaticamente o preço final usando o preço original e o desconto, mesmo quando o código do produto estiver vazio.</t>
      </text>
    </comment>
    <comment authorId="0" ref="K101">
      <text>
        <t xml:space="preserve">Calcula automaticamente o preço final usando o preço original e o desconto, mesmo quando o código do produto estiver vazio.</t>
      </text>
    </comment>
    <comment authorId="0" ref="K68">
      <text>
        <t xml:space="preserve">Calcula automaticamente o preço final usando o preço original e o desconto, mesmo quando o código do produto estiver vazio.</t>
      </text>
    </comment>
    <comment authorId="0" ref="K35">
      <text>
        <t xml:space="preserve">Calcula automaticamente o preço final usando o preço original e o desconto, mesmo quando o código do produto estiver vazio.</t>
      </text>
    </comment>
    <comment authorId="0" ref="K97">
      <text>
        <t xml:space="preserve">Calcula automaticamente o preço final usando o preço original e o desconto, mesmo quando o código do produto estiver vazio.</t>
      </text>
    </comment>
    <comment authorId="0" ref="K64">
      <text>
        <t xml:space="preserve">Calcula automaticamente o preço final usando o preço original e o desconto, mesmo quando o código do produto estiver vazio.</t>
      </text>
    </comment>
    <comment authorId="0" ref="K31">
      <text>
        <t xml:space="preserve">Calcula automaticamente o preço final usando o preço original e o desconto, mesmo quando o código do produto estiver vazio.</t>
      </text>
    </comment>
    <comment authorId="0" ref="K93">
      <text>
        <t xml:space="preserve">Calcula automaticamente o preço final usando o preço original e o desconto, mesmo quando o código do produto estiver vazio.</t>
      </text>
    </comment>
    <comment authorId="0" ref="K60">
      <text>
        <t xml:space="preserve">Calcula automaticamente o preço final usando o preço original e o desconto, mesmo quando o código do produto estiver vazio.</t>
      </text>
    </comment>
    <comment authorId="0" ref="K27">
      <text>
        <t xml:space="preserve">Calcula automaticamente o preço final usando o preço original e o desconto, mesmo quando o código do produto estiver vazio.</t>
      </text>
    </comment>
    <comment authorId="0" ref="K89">
      <text>
        <t xml:space="preserve">Calcula automaticamente o preço final usando o preço original e o desconto, mesmo quando o código do produto estiver vazio.</t>
      </text>
    </comment>
    <comment authorId="0" ref="K56">
      <text>
        <t xml:space="preserve">Calcula automaticamente o preço final usando o preço original e o desconto, mesmo quando o código do produto estiver vazio.</t>
      </text>
    </comment>
    <comment authorId="0" ref="K23">
      <text>
        <t xml:space="preserve">Calcula automaticamente o preço final usando o preço original e o desconto, mesmo quando o código do produto estiver vazio.</t>
      </text>
    </comment>
    <comment authorId="0" ref="K85">
      <text>
        <t xml:space="preserve">Calcula automaticamente o preço final usando o preço original e o desconto, mesmo quando o código do produto estiver vazio.</t>
      </text>
    </comment>
    <comment authorId="0" ref="K52">
      <text>
        <t xml:space="preserve">Calcula automaticamente o preço final usando o preço original e o desconto, mesmo quando o código do produto estiver vazio.</t>
      </text>
    </comment>
    <comment authorId="0" ref="K81">
      <text>
        <t xml:space="preserve">Calcula automaticamente o preço final usando o preço original e o desconto, mesmo quando o código do produto estiver vazio.</t>
      </text>
    </comment>
    <comment authorId="0" ref="K48">
      <text>
        <t xml:space="preserve">Calcula automaticamente o preço final usando o preço original e o desconto, mesmo quando o código do produto estiver vazio.</t>
      </text>
    </comment>
    <comment authorId="0" ref="K77">
      <text>
        <t xml:space="preserve">Calcula automaticamente o preço final usando o preço original e o desconto, mesmo quando o código do produto estiver vazio.</t>
      </text>
    </comment>
    <comment authorId="0" ref="K44">
      <text>
        <t xml:space="preserve">Calcula automaticamente o preço final usando o preço original e o desconto, mesmo quando o código do produto estiver vazio.</t>
      </text>
    </comment>
    <comment authorId="0" ref="K106">
      <text>
        <t xml:space="preserve">Calcula automaticamente o preço final usando o preço original e o desconto, mesmo quando o código do produto estiver vazio.</t>
      </text>
    </comment>
    <comment authorId="0" ref="K73">
      <text>
        <t xml:space="preserve">Calcula automaticamente o preço final usando o preço original e o desconto, mesmo quando o código do produto estiver vazio.</t>
      </text>
    </comment>
    <comment authorId="0" ref="K40">
      <text>
        <t xml:space="preserve">Calcula automaticamente o preço final usando o preço original e o desconto, mesmo quando o código do produto estiver vazio.</t>
      </text>
    </comment>
    <comment authorId="0" ref="K102">
      <text>
        <t xml:space="preserve">Calcula automaticamente o preço final usando o preço original e o desconto, mesmo quando o código do produto estiver vazio.</t>
      </text>
    </comment>
    <comment authorId="0" ref="K69">
      <text>
        <t xml:space="preserve">Calcula automaticamente o preço final usando o preço original e o desconto, mesmo quando o código do produto estiver vazio.</t>
      </text>
    </comment>
    <comment authorId="0" ref="K36">
      <text>
        <t xml:space="preserve">Calcula automaticamente o preço final usando o preço original e o desconto, mesmo quando o código do produto estiver vazio.</t>
      </text>
    </comment>
    <comment authorId="0" ref="K98">
      <text>
        <t xml:space="preserve">Calcula automaticamente o preço final usando o preço original e o desconto, mesmo quando o código do produto estiver vazio.</t>
      </text>
    </comment>
    <comment authorId="0" ref="K65">
      <text>
        <t xml:space="preserve">Calcula automaticamente o preço final usando o preço original e o desconto, mesmo quando o código do produto estiver vazio.</t>
      </text>
    </comment>
    <comment authorId="0" ref="K32">
      <text>
        <t xml:space="preserve">Calcula automaticamente o preço final usando o preço original e o desconto, mesmo quando o código do produto estiver vazio.</t>
      </text>
    </comment>
    <comment authorId="0" ref="K94">
      <text>
        <t xml:space="preserve">Calcula automaticamente o preço final usando o preço original e o desconto, mesmo quando o código do produto estiver vazio.</t>
      </text>
    </comment>
    <comment authorId="0" ref="K61">
      <text>
        <t xml:space="preserve">Calcula automaticamente o preço final usando o preço original e o desconto, mesmo quando o código do produto estiver vazio.</t>
      </text>
    </comment>
    <comment authorId="0" ref="K28">
      <text>
        <t xml:space="preserve">Calcula automaticamente o preço final usando o preço original e o desconto, mesmo quando o código do produto estiver vazio.</t>
      </text>
    </comment>
    <comment authorId="0" ref="K90">
      <text>
        <t xml:space="preserve">Calcula automaticamente o preço final usando o preço original e o desconto, mesmo quando o código do produto estiver vazio.</t>
      </text>
    </comment>
    <comment authorId="0" ref="K57">
      <text>
        <t xml:space="preserve">Calcula automaticamente o preço final usando o preço original e o desconto, mesmo quando o código do produto estiver vazio.</t>
      </text>
    </comment>
    <comment authorId="0" ref="K24">
      <text>
        <t xml:space="preserve">Calcula automaticamente o preço final usando o preço original e o desconto, mesmo quando o código do produto estiver vazio.</t>
      </text>
    </comment>
    <comment authorId="0" ref="K86">
      <text>
        <t xml:space="preserve">Calcula automaticamente o preço final usando o preço original e o desconto, mesmo quando o código do produto estiver vazio.</t>
      </text>
    </comment>
    <comment authorId="0" ref="K53">
      <text>
        <t xml:space="preserve">Calcula automaticamente o preço final usando o preço original e o desconto, mesmo quando o código do produto estiver vazio.</t>
      </text>
    </comment>
    <comment authorId="0" ref="K82">
      <text>
        <t xml:space="preserve">Calcula automaticamente o preço final usando o preço original e o desconto, mesmo quando o código do produto estiver vazio.</t>
      </text>
    </comment>
    <comment authorId="0" ref="K49">
      <text>
        <t xml:space="preserve">Calcula automaticamente o preço final usando o preço original e o desconto, mesmo quando o código do produto estiver vazio.</t>
      </text>
    </comment>
    <comment authorId="0" ref="K78">
      <text>
        <t xml:space="preserve">Calcula automaticamente o preço final usando o preço original e o desconto, mesmo quando o código do produto estiver vazio.</t>
      </text>
    </comment>
    <comment authorId="0" ref="K45">
      <text>
        <t xml:space="preserve">Calcula automaticamente o preço final usando o preço original e o desconto, mesmo quando o código do produto estiver vazio.</t>
      </text>
    </comment>
    <comment authorId="0" ref="K107">
      <text>
        <t xml:space="preserve">Calcula automaticamente o preço final usando o preço original e o desconto, mesmo quando o código do produto estiver vazio.</t>
      </text>
    </comment>
    <comment authorId="0" ref="K74">
      <text>
        <t xml:space="preserve">Calcula automaticamente o preço final usando o preço original e o desconto, mesmo quando o código do produto estiver vazio.</t>
      </text>
    </comment>
    <comment authorId="0" ref="K41">
      <text>
        <t xml:space="preserve">Calcula automaticamente o preço final usando o preço original e o desconto, mesmo quando o código do produto estiver vazio.</t>
      </text>
    </comment>
    <comment authorId="0" ref="K8">
      <text>
        <t xml:space="preserve">Calcula automaticamente o preço final usando o preço original e o desconto, mesmo quando o código do produto estiver vazio.</t>
      </text>
    </comment>
    <comment authorId="0" ref="K103">
      <text>
        <t xml:space="preserve">Calcula automaticamente o preço final usando o preço original e o desconto, mesmo quando o código do produto estiver vazio.</t>
      </text>
    </comment>
    <comment authorId="0" ref="K70">
      <text>
        <t xml:space="preserve">Calcula automaticamente o preço final usando o preço original e o desconto, mesmo quando o código do produto estiver vazio.</t>
      </text>
    </comment>
    <comment authorId="0" ref="K37">
      <text>
        <t xml:space="preserve">Calcula automaticamente o preço final usando o preço original e o desconto, mesmo quando o código do produto estiver vazio.</t>
      </text>
    </comment>
    <comment authorId="0" ref="K99">
      <text>
        <t xml:space="preserve">Calcula automaticamente o preço final usando o preço original e o desconto, mesmo quando o código do produto estiver vazio.</t>
      </text>
    </comment>
    <comment authorId="0" ref="K66">
      <text>
        <t xml:space="preserve">Calcula automaticamente o preço final usando o preço original e o desconto, mesmo quando o código do produto estiver vazio.</t>
      </text>
    </comment>
    <comment authorId="0" ref="K33">
      <text>
        <t xml:space="preserve">Calcula automaticamente o preço final usando o preço original e o desconto, mesmo quando o código do produto estiver vazio.</t>
      </text>
    </comment>
    <comment authorId="0" ref="K95">
      <text>
        <t xml:space="preserve">Calcula automaticamente o preço final usando o preço original e o desconto, mesmo quando o código do produto estiver vazio.</t>
      </text>
    </comment>
    <comment authorId="0" ref="K62">
      <text>
        <t xml:space="preserve">Calcula automaticamente o preço final usando o preço original e o desconto, mesmo quando o código do produto estiver vazio.</t>
      </text>
    </comment>
    <comment authorId="0" ref="K29">
      <text>
        <t xml:space="preserve">Calcula automaticamente o preço final usando o preço original e o desconto, mesmo quando o código do produto estiver vazio.</t>
      </text>
    </comment>
    <comment authorId="0" ref="K91">
      <text>
        <t xml:space="preserve">Calcula automaticamente o preço final usando o preço original e o desconto, mesmo quando o código do produto estiver vazio.</t>
      </text>
    </comment>
    <comment authorId="0" ref="K58">
      <text>
        <t xml:space="preserve">Calcula automaticamente o preço final usando o preço original e o desconto, mesmo quando o código do produto estiver vazio.</t>
      </text>
    </comment>
    <comment authorId="0" ref="K25">
      <text>
        <t xml:space="preserve">Calcula automaticamente o preço final usando o preço original e o desconto, mesmo quando o código do produto estiver vazio.</t>
      </text>
    </comment>
    <comment authorId="0" ref="K87">
      <text>
        <t xml:space="preserve">Calcula automaticamente o preço final usando o preço original e o desconto, mesmo quando o código do produto estiver vazio.</t>
      </text>
    </comment>
    <comment authorId="0" ref="K54">
      <text>
        <t xml:space="preserve">Calcula automaticamente o preço final usando o preço original e o desconto, mesmo quando o código do produto estiver vazio.</t>
      </text>
    </comment>
    <comment authorId="0" ref="K83">
      <text>
        <t xml:space="preserve">Calcula automaticamente o preço final usando o preço original e o desconto, mesmo quando o código do produto estiver vazio.</t>
      </text>
    </comment>
    <comment authorId="0" ref="K50">
      <text>
        <t xml:space="preserve">Calcula automaticamente o preço final usando o preço original e o desconto, mesmo quando o código do produto estiver vazio.</t>
      </text>
    </comment>
    <comment authorId="0" ref="K79">
      <text>
        <t xml:space="preserve">Calcula automaticamente o preço final usando o preço original e o desconto, mesmo quando o código do produto estiver vazio.</t>
      </text>
    </comment>
    <comment authorId="0" ref="K46">
      <text>
        <t xml:space="preserve">Calcula automaticamente o preço final usando o preço original e o desconto, mesmo quando o código do produto estiver vazio.</t>
      </text>
    </comment>
  </commentList>
</comments>
</file>

<file path=xl/sharedStrings.xml><?xml version="1.0" encoding="utf-8"?>
<sst xmlns="http://schemas.openxmlformats.org/spreadsheetml/2006/main" count="136" uniqueCount="90">
  <si>
    <t>CONTROLE DO BAZAR — PURE PERFUMARIA</t>
  </si>
  <si>
    <t>REGISTRO DE VENDAS — BAZAR PURE</t>
  </si>
  <si>
    <t>MENSAGEM FIXADA — PURE PROMOÇÕES</t>
  </si>
  <si>
    <t>Cadastre os produtos na aba Produtos Bazar. A mensagem abaixo será atualizada automaticamente.</t>
  </si>
  <si>
    <t>Total vendido</t>
  </si>
  <si>
    <t>Cadastre cada item promocional. As colunas de vendas, estoque, desconto e status são automáticas.</t>
  </si>
  <si>
    <t>Mensagem de apresentação do grupo</t>
  </si>
  <si>
    <t>Última atualização:</t>
  </si>
  <si>
    <t>🌸 *BEM-VINDOS AO BAZAR PURE PROMOÇÕES!* 🌸
Aqui você encontra produtos originais com preços especiais porque a caixa ou embalagem externa foi violada durante o transporte.
✅ Consulte a condição informada de cada item
📸 Peça fotos antes de confirmar
💳 Pagamento e retirada/entrega a combinar
⏳ Produtos sujeitos à disponibilidade
Para comprar, envie o nome ou código do produto no grupo.</t>
  </si>
  <si>
    <t>Nº de vendas</t>
  </si>
  <si>
    <t>CATÁLOGO AUTOMÁTICO PARA COPIAR</t>
  </si>
  <si>
    <t>Produtos cadastrados</t>
  </si>
  <si>
    <t>Unidades vendidas</t>
  </si>
  <si>
    <t>Copie o conteúdo da célula B10 e fixe no grupo. Atualize sempre que cadastrar ou vender itens.</t>
  </si>
  <si>
    <t>Preencha data, código, quantidade, cliente, pagamento e status. Produto e preço são buscados automaticamente.</t>
  </si>
  <si>
    <t>Data da Venda</t>
  </si>
  <si>
    <t>Código</t>
  </si>
  <si>
    <t>Produto</t>
  </si>
  <si>
    <t>Quantidade</t>
  </si>
  <si>
    <t>Preço Unit.</t>
  </si>
  <si>
    <t>Total</t>
  </si>
  <si>
    <t>Cliente</t>
  </si>
  <si>
    <t>Pagamento</t>
  </si>
  <si>
    <t>Status</t>
  </si>
  <si>
    <t>Observações</t>
  </si>
  <si>
    <t>Unidades disponíveis</t>
  </si>
  <si>
    <t>Valor potencial de venda</t>
  </si>
  <si>
    <t>Itens esgotados</t>
  </si>
  <si>
    <t>Linhas individuais dos produtos (geradas automaticamente)</t>
  </si>
  <si>
    <t>Marca</t>
  </si>
  <si>
    <t>Categoria</t>
  </si>
  <si>
    <t>Volume / Tamanho</t>
  </si>
  <si>
    <t>Condição / Avaria da Caixa</t>
  </si>
  <si>
    <t>Qtd. Inicial</t>
  </si>
  <si>
    <t>Qtd. Vendida</t>
  </si>
  <si>
    <t>Estoque Atual</t>
  </si>
  <si>
    <t>Preço Original</t>
  </si>
  <si>
    <t>Preço Promo</t>
  </si>
  <si>
    <t>Desconto %</t>
  </si>
  <si>
    <t>Localização</t>
  </si>
  <si>
    <t>Data Cadastro</t>
  </si>
  <si>
    <t>CLUB DE NUIT INTENSE MEN</t>
  </si>
  <si>
    <t>ARMAF</t>
  </si>
  <si>
    <t>PERFUME</t>
  </si>
  <si>
    <t>CAIXA COM PEQUENAS AVARIAS</t>
  </si>
  <si>
    <t>SABAH AL WARD</t>
  </si>
  <si>
    <t>AL WATANIAH</t>
  </si>
  <si>
    <t xml:space="preserve">PERFUME </t>
  </si>
  <si>
    <t>CLUB DE NUIT ICONIC</t>
  </si>
  <si>
    <t>AVARIA NA CAIXA E PRODUTO ABERTO</t>
  </si>
  <si>
    <t xml:space="preserve">CLUB DE NUIT URBAN MAN </t>
  </si>
  <si>
    <t xml:space="preserve">SEM CAIXA </t>
  </si>
  <si>
    <t xml:space="preserve">CHANTS TANDERINA </t>
  </si>
  <si>
    <t xml:space="preserve">CAIXA COM AVARIA E ABERTOS </t>
  </si>
  <si>
    <t>FERRARI BLACK</t>
  </si>
  <si>
    <t>FERRARI</t>
  </si>
  <si>
    <t xml:space="preserve">CAIXA COM AVARIAS </t>
  </si>
  <si>
    <t>FLORATA</t>
  </si>
  <si>
    <t>OBOTICARIO</t>
  </si>
  <si>
    <t>BARBOURS'S MY SWEET DELIGHT</t>
  </si>
  <si>
    <t>BARBOUR'S</t>
  </si>
  <si>
    <t>BODY SPLASH</t>
  </si>
  <si>
    <t xml:space="preserve">PRODUTO ÚTILIZADO' ABERTO </t>
  </si>
  <si>
    <t xml:space="preserve">LATAFFA EMMER </t>
  </si>
  <si>
    <t xml:space="preserve">LATAFFA </t>
  </si>
  <si>
    <t xml:space="preserve">LUZ DE LED DA CAIXA NÃO ACENDE </t>
  </si>
  <si>
    <t>LATAFFA ASAD ELIXIR</t>
  </si>
  <si>
    <t>PRODUTO ABERTO E CAIXA COM AVARIAS</t>
  </si>
  <si>
    <t>SIGNATURE</t>
  </si>
  <si>
    <t>MONTBLANC</t>
  </si>
  <si>
    <t xml:space="preserve">PRODUTO COM AVARIA NA CAIXA </t>
  </si>
  <si>
    <t xml:space="preserve">CK ONE </t>
  </si>
  <si>
    <t>CALVIN KLEIN</t>
  </si>
  <si>
    <t xml:space="preserve">PRODUTO SEM CAIXA E SPRAY </t>
  </si>
  <si>
    <t>CLUB DE NUIT WOMAN</t>
  </si>
  <si>
    <t xml:space="preserve">ARMAF </t>
  </si>
  <si>
    <t xml:space="preserve">PRODUTO FOI ABERTO </t>
  </si>
  <si>
    <t xml:space="preserve">CLUB DE NUIT SILLAGE </t>
  </si>
  <si>
    <t>YARA TRADICIONAL</t>
  </si>
  <si>
    <t>BAREEQ AL DHAHAB</t>
  </si>
  <si>
    <t>AL NOBLE WAZEER</t>
  </si>
  <si>
    <t>MAYAR ROSA</t>
  </si>
  <si>
    <t xml:space="preserve">MAYAR INTENSE </t>
  </si>
  <si>
    <t>YARA MOI</t>
  </si>
  <si>
    <t xml:space="preserve">YARA ELIXIR </t>
  </si>
  <si>
    <t>L'Eau d'Issey Pour Homme</t>
  </si>
  <si>
    <t>ISSEY MIYAKE</t>
  </si>
  <si>
    <t xml:space="preserve">BODY  SPLASH  MARINA </t>
  </si>
  <si>
    <t>AVATIM</t>
  </si>
  <si>
    <t>SPLAY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</si>
</sst>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General"/>
    <numFmt numFmtId="165" formatCode="R$ #,##0.00"/>
    <numFmt numFmtId="166" formatCode="dd/mm/yyyy"/>
  </numFmts>
  <fonts count="13">
    <font>
      <sz val="10.0"/>
      <color rgb="FF000000"/>
      <name val="Arial"/>
      <scheme val="minor"/>
    </font>
    <font>
      <b/>
      <sz val="14.0"/>
      <color rgb="FFFFFFFF"/>
      <name val="Calibri"/>
    </font>
    <font>
      <b/>
      <sz val="16.0"/>
      <color rgb="FFFFFFFF"/>
      <name val="Calibri"/>
    </font>
    <font>
      <color theme="1"/>
      <name val="Arial"/>
      <scheme val="minor"/>
    </font>
    <font>
      <b/>
      <sz val="11.0"/>
      <color rgb="FF333333"/>
      <name val="Calibri"/>
    </font>
    <font>
      <sz val="10.0"/>
      <color rgb="FF1F4E78"/>
      <name val="Calibri"/>
    </font>
    <font>
      <sz val="11.0"/>
      <color rgb="FF333333"/>
      <name val="Calibri"/>
    </font>
    <font>
      <b/>
      <sz val="10.0"/>
      <color rgb="FF1F4E78"/>
      <name val="Calibri"/>
    </font>
    <font>
      <b/>
      <sz val="10.0"/>
      <color rgb="FFFFFFFF"/>
      <name val="Calibri"/>
    </font>
    <font>
      <sz val="10.0"/>
      <color rgb="FF0070C0"/>
      <name val="Calibri"/>
    </font>
    <font>
      <sz val="10.0"/>
      <color rgb="FF222222"/>
      <name val="Calibri"/>
    </font>
    <font>
      <b/>
      <sz val="10.0"/>
      <color rgb="FF0070C0"/>
      <name val="Calibri"/>
    </font>
    <font>
      <sz val="11.0"/>
      <color rgb="FF000000"/>
      <name val="Gabarito"/>
    </font>
  </fonts>
  <fills count="16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C65911"/>
        <bgColor rgb="FFC65911"/>
      </patternFill>
    </fill>
    <fill>
      <patternFill patternType="solid">
        <fgColor rgb="FF548235"/>
        <bgColor rgb="FF548235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7EAED6"/>
        <bgColor rgb="FF7EAED6"/>
      </patternFill>
    </fill>
    <fill>
      <patternFill patternType="solid">
        <fgColor rgb="FFF3F8FC"/>
        <bgColor rgb="FFF3F8FC"/>
      </patternFill>
    </fill>
    <fill>
      <patternFill patternType="solid">
        <fgColor rgb="FFEAF3F8"/>
        <bgColor rgb="FFEAF3F8"/>
      </patternFill>
    </fill>
    <fill>
      <patternFill patternType="solid">
        <fgColor rgb="FFD6EAF8"/>
        <bgColor rgb="FFD6EAF8"/>
      </patternFill>
    </fill>
  </fills>
  <borders count="28">
    <border/>
    <border>
      <bottom style="thin">
        <color rgb="FF2F75B5"/>
      </bottom>
    </border>
    <border>
      <bottom style="thin">
        <color rgb="FF843C0C"/>
      </bottom>
    </border>
    <border>
      <bottom style="thin">
        <color rgb="FF375623"/>
      </bottom>
    </border>
    <border>
      <bottom style="thin">
        <color rgb="FFF4B183"/>
      </bottom>
    </border>
    <border>
      <left style="thin">
        <color rgb="FFA9D18E"/>
      </left>
      <top style="thin">
        <color rgb="FFA9D18E"/>
      </top>
    </border>
    <border>
      <right style="thin">
        <color rgb="FFA9D18E"/>
      </right>
      <top style="thin">
        <color rgb="FFA9D18E"/>
      </top>
    </border>
    <border>
      <bottom style="thin">
        <color rgb="FF9DC3E6"/>
      </bottom>
    </border>
    <border>
      <left style="thin">
        <color rgb="FFA9D18E"/>
      </left>
      <bottom style="thin">
        <color rgb="FFA9D18E"/>
      </bottom>
    </border>
    <border>
      <right style="thin">
        <color rgb="FFA9D18E"/>
      </right>
      <bottom style="thin">
        <color rgb="FFA9D18E"/>
      </bottom>
    </border>
    <border>
      <left style="thin">
        <color rgb="FFBF9000"/>
      </left>
      <top style="thin">
        <color rgb="FFBF9000"/>
      </top>
    </border>
    <border>
      <right style="thin">
        <color rgb="FFBF9000"/>
      </right>
      <top style="thin">
        <color rgb="FFBF9000"/>
      </top>
    </border>
    <border>
      <top style="thin">
        <color rgb="FF9DC3E6"/>
      </top>
      <bottom style="thin">
        <color rgb="FF9DC3E6"/>
      </bottom>
    </border>
    <border>
      <left style="thin">
        <color rgb="FFBF9000"/>
      </left>
    </border>
    <border>
      <right style="thin">
        <color rgb="FFBF9000"/>
      </right>
    </border>
    <border>
      <left style="thin">
        <color rgb="FFC65911"/>
      </left>
      <top style="thin">
        <color rgb="FFC65911"/>
      </top>
      <bottom style="thin">
        <color rgb="FFC65911"/>
      </bottom>
    </border>
    <border>
      <top style="thin">
        <color rgb="FFC65911"/>
      </top>
      <bottom style="thin">
        <color rgb="FFC65911"/>
      </bottom>
    </border>
    <border>
      <left style="thin">
        <color rgb="FFBF9000"/>
      </left>
      <bottom style="thin">
        <color rgb="FFBF9000"/>
      </bottom>
    </border>
    <border>
      <right style="thin">
        <color rgb="FFC65911"/>
      </right>
      <top style="thin">
        <color rgb="FFC65911"/>
      </top>
      <bottom style="thin">
        <color rgb="FFC65911"/>
      </bottom>
    </border>
    <border>
      <right style="thin">
        <color rgb="FFBF9000"/>
      </right>
      <bottom style="thin">
        <color rgb="FFBF9000"/>
      </bottom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top style="thin">
        <color rgb="FF5B9BD5"/>
      </top>
      <bottom style="thin">
        <color rgb="FF5B9BD5"/>
      </bottom>
    </border>
    <border>
      <left style="thin">
        <color rgb="FFC65911"/>
      </left>
      <right style="thin">
        <color rgb="FFC65911"/>
      </right>
      <top style="thin">
        <color rgb="FF5B9BD5"/>
      </top>
      <bottom style="thin">
        <color rgb="FF5B9BD5"/>
      </bottom>
    </border>
    <border>
      <right style="thin">
        <color rgb="FF5B9BD5"/>
      </right>
      <top style="thin">
        <color rgb="FF5B9BD5"/>
      </top>
      <bottom style="thin">
        <color rgb="FF5B9BD5"/>
      </bottom>
    </border>
    <border>
      <left style="thin">
        <color rgb="FF5B9BD5"/>
      </left>
      <right style="thin">
        <color rgb="FF5B9BD5"/>
      </right>
    </border>
    <border>
      <bottom style="thin">
        <color rgb="FFD9EAF7"/>
      </bottom>
    </border>
    <border>
      <left style="thin">
        <color rgb="FF5B9BD5"/>
      </left>
      <right style="thin">
        <color rgb="FF5B9BD5"/>
      </right>
      <bottom style="thin">
        <color rgb="FFD9EAF7"/>
      </bottom>
    </border>
    <border>
      <bottom style="thin">
        <color rgb="FFE6E6E6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2" fillId="3" fontId="2" numFmtId="164" xfId="0" applyAlignment="1" applyBorder="1" applyFill="1" applyFont="1" applyNumberFormat="1">
      <alignment horizontal="left" readingOrder="0"/>
    </xf>
    <xf borderId="1" fillId="2" fontId="1" numFmtId="164" xfId="0" applyAlignment="1" applyBorder="1" applyFill="1" applyFont="1" applyNumberFormat="1">
      <alignment horizontal="left" readingOrder="0"/>
    </xf>
    <xf borderId="3" fillId="4" fontId="2" numFmtId="164" xfId="0" applyAlignment="1" applyBorder="1" applyFill="1" applyFont="1" applyNumberFormat="1">
      <alignment horizontal="left" readingOrder="0"/>
    </xf>
    <xf borderId="1" fillId="2" fontId="1" numFmtId="164" xfId="0" applyAlignment="1" applyBorder="1" applyFill="1" applyFont="1" applyNumberFormat="1">
      <alignment horizontal="left"/>
    </xf>
    <xf borderId="2" fillId="3" fontId="2" numFmtId="164" xfId="0" applyAlignment="1" applyBorder="1" applyFill="1" applyFont="1" applyNumberFormat="1">
      <alignment horizontal="left"/>
    </xf>
    <xf borderId="3" fillId="4" fontId="2" numFmtId="164" xfId="0" applyAlignment="1" applyBorder="1" applyFill="1" applyFont="1" applyNumberFormat="1">
      <alignment horizontal="left"/>
    </xf>
    <xf borderId="0" fillId="0" fontId="3" numFmtId="0" xfId="0" applyAlignment="1" applyFont="1">
      <alignment readingOrder="0"/>
    </xf>
    <xf borderId="4" fillId="5" fontId="4" numFmtId="164" xfId="0" applyAlignment="1" applyBorder="1" applyFill="1" applyFont="1" applyNumberFormat="1">
      <alignment horizontal="center" readingOrder="0"/>
    </xf>
    <xf borderId="0" fillId="6" fontId="5" numFmtId="164" xfId="0" applyAlignment="1" applyFill="1" applyFont="1" applyNumberFormat="1">
      <alignment horizontal="left" readingOrder="0"/>
    </xf>
    <xf borderId="5" fillId="7" fontId="6" numFmtId="164" xfId="0" applyAlignment="1" applyBorder="1" applyFill="1" applyFont="1" applyNumberFormat="1">
      <alignment horizontal="left" readingOrder="0"/>
    </xf>
    <xf borderId="0" fillId="6" fontId="5" numFmtId="164" xfId="0" applyAlignment="1" applyFill="1" applyFont="1" applyNumberFormat="1">
      <alignment horizontal="left"/>
    </xf>
    <xf borderId="6" fillId="7" fontId="6" numFmtId="164" xfId="0" applyAlignment="1" applyBorder="1" applyFill="1" applyFont="1" applyNumberFormat="1">
      <alignment horizontal="left"/>
    </xf>
    <xf borderId="7" fillId="6" fontId="5" numFmtId="164" xfId="0" applyAlignment="1" applyBorder="1" applyFill="1" applyFont="1" applyNumberFormat="1">
      <alignment horizontal="left" readingOrder="0"/>
    </xf>
    <xf borderId="8" fillId="7" fontId="6" numFmtId="164" xfId="0" applyAlignment="1" applyBorder="1" applyFill="1" applyFont="1" applyNumberFormat="1">
      <alignment horizontal="left"/>
    </xf>
    <xf borderId="4" fillId="5" fontId="4" numFmtId="165" xfId="0" applyAlignment="1" applyBorder="1" applyFill="1" applyFont="1" applyNumberFormat="1">
      <alignment horizontal="right"/>
    </xf>
    <xf borderId="7" fillId="6" fontId="5" numFmtId="166" xfId="0" applyAlignment="1" applyBorder="1" applyFill="1" applyFont="1" applyNumberFormat="1">
      <alignment horizontal="left" readingOrder="0"/>
    </xf>
    <xf borderId="4" fillId="5" fontId="4" numFmtId="164" xfId="0" applyAlignment="1" applyBorder="1" applyFill="1" applyFont="1" applyNumberFormat="1">
      <alignment horizontal="center"/>
    </xf>
    <xf borderId="7" fillId="6" fontId="5" numFmtId="164" xfId="0" applyAlignment="1" applyBorder="1" applyFill="1" applyFont="1" applyNumberFormat="1">
      <alignment horizontal="left"/>
    </xf>
    <xf borderId="9" fillId="7" fontId="6" numFmtId="164" xfId="0" applyAlignment="1" applyBorder="1" applyFill="1" applyFont="1" applyNumberFormat="1">
      <alignment horizontal="left" readingOrder="0"/>
    </xf>
    <xf borderId="10" fillId="8" fontId="6" numFmtId="164" xfId="0" applyAlignment="1" applyBorder="1" applyFill="1" applyFont="1" applyNumberFormat="1">
      <alignment horizontal="left" readingOrder="0"/>
    </xf>
    <xf borderId="12" fillId="9" fontId="7" numFmtId="164" xfId="0" applyAlignment="1" applyBorder="1" applyFill="1" applyFont="1" applyNumberFormat="1">
      <alignment horizontal="center" readingOrder="0"/>
    </xf>
    <xf borderId="11" fillId="8" fontId="6" numFmtId="164" xfId="0" applyAlignment="1" applyBorder="1" applyFill="1" applyFont="1" applyNumberFormat="1">
      <alignment horizontal="left"/>
    </xf>
    <xf borderId="13" fillId="8" fontId="6" numFmtId="164" xfId="0" applyAlignment="1" applyBorder="1" applyFill="1" applyFont="1" applyNumberFormat="1">
      <alignment horizontal="left" readingOrder="0"/>
    </xf>
    <xf borderId="14" fillId="8" fontId="6" numFmtId="164" xfId="0" applyAlignment="1" applyBorder="1" applyFill="1" applyFont="1" applyNumberFormat="1">
      <alignment horizontal="left"/>
    </xf>
    <xf borderId="15" fillId="10" fontId="8" numFmtId="164" xfId="0" applyAlignment="1" applyBorder="1" applyFill="1" applyFont="1" applyNumberFormat="1">
      <alignment horizontal="center" readingOrder="0"/>
    </xf>
    <xf borderId="16" fillId="10" fontId="8" numFmtId="164" xfId="0" applyAlignment="1" applyBorder="1" applyFill="1" applyFont="1" applyNumberFormat="1">
      <alignment horizontal="center" readingOrder="0"/>
    </xf>
    <xf borderId="17" fillId="8" fontId="6" numFmtId="164" xfId="0" applyAlignment="1" applyBorder="1" applyFill="1" applyFont="1" applyNumberFormat="1">
      <alignment horizontal="left"/>
    </xf>
    <xf borderId="12" fillId="9" fontId="7" numFmtId="1" xfId="0" applyAlignment="1" applyBorder="1" applyFill="1" applyFont="1" applyNumberFormat="1">
      <alignment horizontal="center"/>
    </xf>
    <xf borderId="12" fillId="9" fontId="7" numFmtId="164" xfId="0" applyAlignment="1" applyBorder="1" applyFill="1" applyFont="1" applyNumberFormat="1">
      <alignment horizontal="center"/>
    </xf>
    <xf borderId="18" fillId="10" fontId="8" numFmtId="164" xfId="0" applyAlignment="1" applyBorder="1" applyFill="1" applyFont="1" applyNumberFormat="1">
      <alignment horizontal="center" readingOrder="0"/>
    </xf>
    <xf borderId="0" fillId="11" fontId="9" numFmtId="166" xfId="0" applyAlignment="1" applyFill="1" applyFont="1" applyNumberFormat="1">
      <alignment horizontal="center"/>
    </xf>
    <xf borderId="0" fillId="11" fontId="9" numFmtId="164" xfId="0" applyAlignment="1" applyFill="1" applyFont="1" applyNumberFormat="1">
      <alignment horizontal="left"/>
    </xf>
    <xf borderId="12" fillId="9" fontId="7" numFmtId="165" xfId="0" applyAlignment="1" applyBorder="1" applyFill="1" applyFont="1" applyNumberFormat="1">
      <alignment horizontal="center"/>
    </xf>
    <xf borderId="19" fillId="8" fontId="6" numFmtId="164" xfId="0" applyAlignment="1" applyBorder="1" applyFill="1" applyFont="1" applyNumberFormat="1">
      <alignment horizontal="left"/>
    </xf>
    <xf borderId="0" fillId="0" fontId="3" numFmtId="0" xfId="0" applyFont="1"/>
    <xf borderId="20" fillId="12" fontId="8" numFmtId="164" xfId="0" applyAlignment="1" applyBorder="1" applyFill="1" applyFont="1" applyNumberFormat="1">
      <alignment horizontal="center" readingOrder="0"/>
    </xf>
    <xf borderId="0" fillId="11" fontId="9" numFmtId="1" xfId="0" applyAlignment="1" applyFill="1" applyFont="1" applyNumberFormat="1">
      <alignment horizontal="right"/>
    </xf>
    <xf borderId="21" fillId="12" fontId="8" numFmtId="164" xfId="0" applyAlignment="1" applyBorder="1" applyFill="1" applyFont="1" applyNumberFormat="1">
      <alignment horizontal="center" readingOrder="0"/>
    </xf>
    <xf borderId="22" fillId="12" fontId="8" numFmtId="164" xfId="0" applyAlignment="1" applyBorder="1" applyFill="1" applyFont="1" applyNumberFormat="1">
      <alignment horizontal="center" readingOrder="0"/>
    </xf>
    <xf borderId="23" fillId="12" fontId="8" numFmtId="164" xfId="0" applyAlignment="1" applyBorder="1" applyFill="1" applyFont="1" applyNumberFormat="1">
      <alignment horizontal="center" readingOrder="0"/>
    </xf>
    <xf borderId="0" fillId="13" fontId="10" numFmtId="164" xfId="0" applyAlignment="1" applyFill="1" applyFont="1" applyNumberFormat="1">
      <alignment horizontal="left"/>
    </xf>
    <xf borderId="0" fillId="13" fontId="10" numFmtId="164" xfId="0" applyAlignment="1" applyFill="1" applyFont="1" applyNumberFormat="1">
      <alignment horizontal="left" readingOrder="0"/>
    </xf>
    <xf borderId="0" fillId="11" fontId="10" numFmtId="165" xfId="0" applyAlignment="1" applyFill="1" applyFont="1" applyNumberFormat="1">
      <alignment horizontal="right"/>
    </xf>
    <xf borderId="0" fillId="13" fontId="10" numFmtId="1" xfId="0" applyAlignment="1" applyFill="1" applyFont="1" applyNumberFormat="1">
      <alignment horizontal="right" readingOrder="0"/>
    </xf>
    <xf borderId="0" fillId="14" fontId="9" numFmtId="165" xfId="0" applyAlignment="1" applyFill="1" applyFont="1" applyNumberFormat="1">
      <alignment horizontal="right" readingOrder="0"/>
    </xf>
    <xf borderId="24" fillId="15" fontId="7" numFmtId="165" xfId="0" applyAlignment="1" applyBorder="1" applyFill="1" applyFont="1" applyNumberFormat="1">
      <alignment horizontal="right"/>
    </xf>
    <xf borderId="0" fillId="14" fontId="11" numFmtId="9" xfId="0" applyAlignment="1" applyFill="1" applyFont="1" applyNumberFormat="1">
      <alignment horizontal="right" readingOrder="0"/>
    </xf>
    <xf borderId="0" fillId="13" fontId="10" numFmtId="166" xfId="0" applyAlignment="1" applyFill="1" applyFont="1" applyNumberFormat="1">
      <alignment horizontal="center" readingOrder="0"/>
    </xf>
    <xf borderId="0" fillId="13" fontId="10" numFmtId="1" xfId="0" applyAlignment="1" applyFill="1" applyFont="1" applyNumberFormat="1">
      <alignment horizontal="right"/>
    </xf>
    <xf borderId="0" fillId="13" fontId="10" numFmtId="166" xfId="0" applyAlignment="1" applyFill="1" applyFont="1" applyNumberFormat="1">
      <alignment horizontal="center"/>
    </xf>
    <xf borderId="0" fillId="14" fontId="11" numFmtId="9" xfId="0" applyAlignment="1" applyFill="1" applyFont="1" applyNumberFormat="1">
      <alignment horizontal="right" readingOrder="0"/>
    </xf>
    <xf borderId="0" fillId="13" fontId="10" numFmtId="164" xfId="0" applyAlignment="1" applyFill="1" applyFont="1" applyNumberFormat="1">
      <alignment horizontal="right" readingOrder="0"/>
    </xf>
    <xf borderId="0" fillId="11" fontId="12" numFmtId="164" xfId="0" applyAlignment="1" applyFill="1" applyFont="1" applyNumberFormat="1">
      <alignment readingOrder="0"/>
    </xf>
    <xf borderId="0" fillId="14" fontId="9" numFmtId="165" xfId="0" applyAlignment="1" applyFill="1" applyFont="1" applyNumberFormat="1">
      <alignment horizontal="right"/>
    </xf>
    <xf borderId="0" fillId="14" fontId="11" numFmtId="9" xfId="0" applyAlignment="1" applyFill="1" applyFont="1" applyNumberFormat="1">
      <alignment horizontal="right"/>
    </xf>
    <xf borderId="25" fillId="13" fontId="10" numFmtId="164" xfId="0" applyAlignment="1" applyBorder="1" applyFill="1" applyFont="1" applyNumberFormat="1">
      <alignment horizontal="left"/>
    </xf>
    <xf borderId="25" fillId="13" fontId="10" numFmtId="1" xfId="0" applyAlignment="1" applyBorder="1" applyFill="1" applyFont="1" applyNumberFormat="1">
      <alignment horizontal="right"/>
    </xf>
    <xf borderId="25" fillId="14" fontId="9" numFmtId="165" xfId="0" applyAlignment="1" applyBorder="1" applyFill="1" applyFont="1" applyNumberFormat="1">
      <alignment horizontal="right"/>
    </xf>
    <xf borderId="26" fillId="15" fontId="7" numFmtId="165" xfId="0" applyAlignment="1" applyBorder="1" applyFill="1" applyFont="1" applyNumberFormat="1">
      <alignment horizontal="right"/>
    </xf>
    <xf borderId="25" fillId="14" fontId="11" numFmtId="9" xfId="0" applyAlignment="1" applyBorder="1" applyFill="1" applyFont="1" applyNumberFormat="1">
      <alignment horizontal="right"/>
    </xf>
    <xf borderId="25" fillId="13" fontId="10" numFmtId="166" xfId="0" applyAlignment="1" applyBorder="1" applyFill="1" applyFont="1" applyNumberFormat="1">
      <alignment horizontal="center"/>
    </xf>
    <xf borderId="27" fillId="11" fontId="9" numFmtId="166" xfId="0" applyAlignment="1" applyBorder="1" applyFill="1" applyFont="1" applyNumberFormat="1">
      <alignment horizontal="center"/>
    </xf>
    <xf borderId="27" fillId="11" fontId="9" numFmtId="164" xfId="0" applyAlignment="1" applyBorder="1" applyFill="1" applyFont="1" applyNumberFormat="1">
      <alignment horizontal="left"/>
    </xf>
    <xf borderId="27" fillId="11" fontId="9" numFmtId="1" xfId="0" applyAlignment="1" applyBorder="1" applyFill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13"/>
    <col customWidth="1" min="2" max="2" width="22.63"/>
    <col customWidth="1" min="3" max="5" width="13.25"/>
    <col customWidth="1" min="6" max="6" width="26.38"/>
    <col customWidth="1" min="7" max="9" width="10.75"/>
    <col customWidth="1" min="10" max="12" width="12.0"/>
    <col customWidth="1" min="13" max="14" width="15.75"/>
    <col customWidth="1" min="15" max="15" width="26.38"/>
    <col customWidth="1" min="16" max="16" width="12.63"/>
  </cols>
  <sheetData>
    <row r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>
      <c r="A2" s="9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>
      <c r="A3" s="13" t="s">
        <v>7</v>
      </c>
      <c r="B3" s="16">
        <v>46288.0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/>
    <row r="5">
      <c r="A5" s="21" t="s">
        <v>11</v>
      </c>
      <c r="B5" s="28">
        <f>COUNTIF(A8:A107,"&lt;&gt;")</f>
        <v>0</v>
      </c>
      <c r="C5" s="29"/>
      <c r="D5" s="21" t="s">
        <v>25</v>
      </c>
      <c r="E5" s="28">
        <f>SUM(I8:I107)</f>
        <v>52</v>
      </c>
      <c r="F5" s="29"/>
      <c r="G5" s="21" t="s">
        <v>26</v>
      </c>
      <c r="H5" s="33">
        <f>SUMPRODUCT(I8:I107,K8:K107)</f>
        <v>8389.796</v>
      </c>
      <c r="I5" s="29"/>
      <c r="J5" s="21" t="s">
        <v>27</v>
      </c>
      <c r="K5" s="28">
        <f>COUNTIF(M8:M107,"ESGOTADO")</f>
        <v>0</v>
      </c>
    </row>
    <row r="6"/>
    <row r="7">
      <c r="A7" s="36" t="s">
        <v>16</v>
      </c>
      <c r="B7" s="38" t="s">
        <v>17</v>
      </c>
      <c r="C7" s="38" t="s">
        <v>29</v>
      </c>
      <c r="D7" s="38" t="s">
        <v>30</v>
      </c>
      <c r="E7" s="38" t="s">
        <v>31</v>
      </c>
      <c r="F7" s="38" t="s">
        <v>32</v>
      </c>
      <c r="G7" s="38" t="s">
        <v>33</v>
      </c>
      <c r="H7" s="38" t="s">
        <v>34</v>
      </c>
      <c r="I7" s="38" t="s">
        <v>35</v>
      </c>
      <c r="J7" s="38" t="s">
        <v>36</v>
      </c>
      <c r="K7" s="39" t="s">
        <v>37</v>
      </c>
      <c r="L7" s="38" t="s">
        <v>38</v>
      </c>
      <c r="M7" s="38" t="s">
        <v>23</v>
      </c>
      <c r="N7" s="38" t="s">
        <v>39</v>
      </c>
      <c r="O7" s="38" t="s">
        <v>24</v>
      </c>
      <c r="P7" s="40" t="s">
        <v>40</v>
      </c>
    </row>
    <row r="8">
      <c r="A8" s="41"/>
      <c r="B8" s="42" t="s">
        <v>41</v>
      </c>
      <c r="C8" s="42" t="s">
        <v>42</v>
      </c>
      <c r="D8" s="42" t="s">
        <v>43</v>
      </c>
      <c r="E8" s="41"/>
      <c r="F8" s="42" t="s">
        <v>44</v>
      </c>
      <c r="G8" s="44">
        <v>15.0</v>
      </c>
      <c r="H8" s="44">
        <v>0.0</v>
      </c>
      <c r="I8" s="44">
        <v>15.0</v>
      </c>
      <c r="J8" s="45">
        <v>275.99</v>
      </c>
      <c r="K8" s="46">
        <f t="shared" ref="K8:K107" si="1">IF(OR(J8="",L8=""),"",J8*(1-L8))</f>
        <v>165.594</v>
      </c>
      <c r="L8" s="47">
        <v>0.4</v>
      </c>
      <c r="M8" s="41" t="str">
        <f t="shared" ref="M8:M107" si="2">IF(INDEX(A:A,ROW())="","",IF(INDEX(I:I,ROW())&lt;=0,"ESGOTADO",IF(INDEX(I:I,ROW())&lt;=2,"ÚLTIMAS UNIDADES","DISPONÍVEL")))</f>
        <v/>
      </c>
      <c r="N8" s="41"/>
      <c r="O8" s="41"/>
      <c r="P8" s="48">
        <v>46288.0</v>
      </c>
    </row>
    <row r="9">
      <c r="A9" s="41"/>
      <c r="B9" s="42" t="s">
        <v>45</v>
      </c>
      <c r="C9" s="42" t="s">
        <v>46</v>
      </c>
      <c r="D9" s="42" t="s">
        <v>47</v>
      </c>
      <c r="E9" s="41"/>
      <c r="F9" s="42" t="s">
        <v>44</v>
      </c>
      <c r="G9" s="44">
        <v>3.0</v>
      </c>
      <c r="H9" s="49" t="str">
        <f t="array" ref="H9">IF(INDEX(A:A,ROW())="","",SUMIF(Vendas!$B$5:$B$504,INDEX(A:A,ROW()),Vendas!$D$5:$D$504))</f>
        <v/>
      </c>
      <c r="I9" s="44">
        <v>3.0</v>
      </c>
      <c r="J9" s="45">
        <v>229.0</v>
      </c>
      <c r="K9" s="46">
        <f t="shared" si="1"/>
        <v>160.3</v>
      </c>
      <c r="L9" s="47">
        <v>0.3</v>
      </c>
      <c r="M9" s="41" t="str">
        <f t="shared" si="2"/>
        <v/>
      </c>
      <c r="N9" s="41"/>
      <c r="O9" s="41"/>
      <c r="P9" s="50"/>
    </row>
    <row r="10">
      <c r="A10" s="41"/>
      <c r="B10" s="42" t="s">
        <v>48</v>
      </c>
      <c r="C10" s="42" t="s">
        <v>42</v>
      </c>
      <c r="D10" s="42" t="s">
        <v>43</v>
      </c>
      <c r="E10" s="41"/>
      <c r="F10" s="42" t="s">
        <v>49</v>
      </c>
      <c r="G10" s="44">
        <v>6.0</v>
      </c>
      <c r="H10" s="49" t="str">
        <f t="array" ref="H10">IF(INDEX(A:A,ROW())="","",SUMIF(Vendas!$B$5:$B$504,INDEX(A:A,ROW()),Vendas!$D$5:$D$504))</f>
        <v/>
      </c>
      <c r="I10" s="44">
        <v>6.0</v>
      </c>
      <c r="J10" s="45">
        <v>399.9</v>
      </c>
      <c r="K10" s="46">
        <f t="shared" si="1"/>
        <v>239.94</v>
      </c>
      <c r="L10" s="51">
        <v>0.4</v>
      </c>
      <c r="M10" s="41" t="str">
        <f t="shared" si="2"/>
        <v/>
      </c>
      <c r="N10" s="41"/>
      <c r="O10" s="41"/>
      <c r="P10" s="50"/>
    </row>
    <row r="11">
      <c r="A11" s="41"/>
      <c r="B11" s="42" t="s">
        <v>50</v>
      </c>
      <c r="C11" s="42" t="s">
        <v>42</v>
      </c>
      <c r="D11" s="42" t="s">
        <v>43</v>
      </c>
      <c r="E11" s="41"/>
      <c r="F11" s="42" t="s">
        <v>51</v>
      </c>
      <c r="G11" s="44">
        <v>1.0</v>
      </c>
      <c r="H11" s="49" t="str">
        <f t="array" ref="H11">IF(INDEX(A:A,ROW())="","",SUMIF(Vendas!$B$5:$B$504,INDEX(A:A,ROW()),Vendas!$D$5:$D$504))</f>
        <v/>
      </c>
      <c r="I11" s="44">
        <v>1.0</v>
      </c>
      <c r="J11" s="45">
        <v>349.0</v>
      </c>
      <c r="K11" s="46">
        <f t="shared" si="1"/>
        <v>209.4</v>
      </c>
      <c r="L11" s="47">
        <v>0.4</v>
      </c>
      <c r="M11" s="41" t="str">
        <f t="shared" si="2"/>
        <v/>
      </c>
      <c r="N11" s="41"/>
      <c r="O11" s="41"/>
      <c r="P11" s="50"/>
    </row>
    <row r="12">
      <c r="A12" s="41"/>
      <c r="B12" s="42" t="s">
        <v>52</v>
      </c>
      <c r="C12" s="42"/>
      <c r="D12" s="42" t="s">
        <v>43</v>
      </c>
      <c r="E12" s="42"/>
      <c r="F12" s="42" t="s">
        <v>53</v>
      </c>
      <c r="G12" s="52">
        <v>2.0</v>
      </c>
      <c r="H12" s="49" t="str">
        <f t="array" ref="H12">IF(INDEX(A:A,ROW())="","",SUMIF(Vendas!$B$5:$B$504,INDEX(A:A,ROW()),Vendas!$D$5:$D$504))</f>
        <v/>
      </c>
      <c r="I12" s="44">
        <v>2.0</v>
      </c>
      <c r="J12" s="45">
        <v>199.0</v>
      </c>
      <c r="K12" s="46">
        <f t="shared" si="1"/>
        <v>119.4</v>
      </c>
      <c r="L12" s="47">
        <v>0.4</v>
      </c>
      <c r="M12" s="41" t="str">
        <f t="shared" si="2"/>
        <v/>
      </c>
      <c r="N12" s="41"/>
      <c r="O12" s="41"/>
      <c r="P12" s="50"/>
    </row>
    <row r="13">
      <c r="A13" s="41"/>
      <c r="B13" s="42" t="s">
        <v>54</v>
      </c>
      <c r="C13" s="42" t="s">
        <v>55</v>
      </c>
      <c r="D13" s="42" t="s">
        <v>43</v>
      </c>
      <c r="E13" s="41"/>
      <c r="F13" s="42" t="s">
        <v>56</v>
      </c>
      <c r="G13" s="44">
        <v>1.0</v>
      </c>
      <c r="H13" s="49" t="str">
        <f t="array" ref="H13">IF(INDEX(A:A,ROW())="","",SUMIF(Vendas!$B$5:$B$504,INDEX(A:A,ROW()),Vendas!$D$5:$D$504))</f>
        <v/>
      </c>
      <c r="I13" s="44">
        <v>1.0</v>
      </c>
      <c r="J13" s="45">
        <v>219.89</v>
      </c>
      <c r="K13" s="46">
        <f t="shared" si="1"/>
        <v>131.934</v>
      </c>
      <c r="L13" s="47">
        <v>0.4</v>
      </c>
      <c r="M13" s="41" t="str">
        <f t="shared" si="2"/>
        <v/>
      </c>
      <c r="N13" s="41"/>
      <c r="O13" s="41"/>
      <c r="P13" s="50"/>
    </row>
    <row r="14">
      <c r="A14" s="41"/>
      <c r="B14" s="42" t="s">
        <v>57</v>
      </c>
      <c r="C14" s="42" t="s">
        <v>58</v>
      </c>
      <c r="D14" s="42" t="s">
        <v>43</v>
      </c>
      <c r="E14" s="41"/>
      <c r="F14" s="42" t="s">
        <v>51</v>
      </c>
      <c r="G14" s="44">
        <v>1.0</v>
      </c>
      <c r="H14" s="49" t="str">
        <f t="array" ref="H14">IF(INDEX(A:A,ROW())="","",SUMIF(Vendas!$B$5:$B$504,INDEX(A:A,ROW()),Vendas!$D$5:$D$504))</f>
        <v/>
      </c>
      <c r="I14" s="44">
        <v>1.0</v>
      </c>
      <c r="J14" s="45">
        <v>115.8</v>
      </c>
      <c r="K14" s="46">
        <f t="shared" si="1"/>
        <v>57.9</v>
      </c>
      <c r="L14" s="47">
        <v>0.5</v>
      </c>
      <c r="M14" s="41" t="str">
        <f t="shared" si="2"/>
        <v/>
      </c>
      <c r="N14" s="41"/>
      <c r="O14" s="41"/>
      <c r="P14" s="50"/>
    </row>
    <row r="15">
      <c r="A15" s="41"/>
      <c r="B15" s="42" t="s">
        <v>59</v>
      </c>
      <c r="C15" s="42" t="s">
        <v>60</v>
      </c>
      <c r="D15" s="42" t="s">
        <v>61</v>
      </c>
      <c r="E15" s="41"/>
      <c r="F15" s="42" t="s">
        <v>62</v>
      </c>
      <c r="G15" s="44">
        <v>1.0</v>
      </c>
      <c r="H15" s="49" t="str">
        <f t="array" ref="H15">IF(INDEX(A:A,ROW())="","",SUMIF(Vendas!$B$5:$B$504,INDEX(A:A,ROW()),Vendas!$D$5:$D$504))</f>
        <v/>
      </c>
      <c r="I15" s="44">
        <v>1.0</v>
      </c>
      <c r="J15" s="45">
        <v>38.99</v>
      </c>
      <c r="K15" s="46">
        <f t="shared" si="1"/>
        <v>38.99</v>
      </c>
      <c r="L15" s="47">
        <v>0.0</v>
      </c>
      <c r="M15" s="41" t="str">
        <f t="shared" si="2"/>
        <v/>
      </c>
      <c r="N15" s="41"/>
      <c r="O15" s="41"/>
      <c r="P15" s="50"/>
    </row>
    <row r="16">
      <c r="A16" s="41"/>
      <c r="B16" s="42" t="s">
        <v>63</v>
      </c>
      <c r="C16" s="42" t="s">
        <v>64</v>
      </c>
      <c r="D16" s="42" t="s">
        <v>43</v>
      </c>
      <c r="E16" s="41"/>
      <c r="F16" s="42" t="s">
        <v>65</v>
      </c>
      <c r="G16" s="44">
        <v>1.0</v>
      </c>
      <c r="H16" s="49" t="str">
        <f t="array" ref="H16">IF(INDEX(A:A,ROW())="","",SUMIF(Vendas!$B$5:$B$504,INDEX(A:A,ROW()),Vendas!$D$5:$D$504))</f>
        <v/>
      </c>
      <c r="I16" s="44">
        <v>1.0</v>
      </c>
      <c r="J16" s="45">
        <v>329.9</v>
      </c>
      <c r="K16" s="46">
        <f t="shared" si="1"/>
        <v>197.94</v>
      </c>
      <c r="L16" s="47">
        <v>0.4</v>
      </c>
      <c r="M16" s="41" t="str">
        <f t="shared" si="2"/>
        <v/>
      </c>
      <c r="N16" s="41"/>
      <c r="O16" s="41"/>
      <c r="P16" s="50"/>
    </row>
    <row r="17">
      <c r="A17" s="41"/>
      <c r="B17" s="42" t="s">
        <v>66</v>
      </c>
      <c r="C17" s="42" t="s">
        <v>64</v>
      </c>
      <c r="D17" s="42" t="s">
        <v>43</v>
      </c>
      <c r="E17" s="41"/>
      <c r="F17" s="42" t="s">
        <v>67</v>
      </c>
      <c r="G17" s="44">
        <v>1.0</v>
      </c>
      <c r="H17" s="49" t="str">
        <f t="array" ref="H17">IF(INDEX(A:A,ROW())="","",SUMIF(Vendas!$B$5:$B$504,INDEX(A:A,ROW()),Vendas!$D$5:$D$504))</f>
        <v/>
      </c>
      <c r="I17" s="44">
        <v>1.0</v>
      </c>
      <c r="J17" s="45">
        <v>239.9</v>
      </c>
      <c r="K17" s="46">
        <f t="shared" si="1"/>
        <v>143.94</v>
      </c>
      <c r="L17" s="47">
        <v>0.4</v>
      </c>
      <c r="M17" s="41" t="str">
        <f t="shared" si="2"/>
        <v/>
      </c>
      <c r="N17" s="41"/>
      <c r="O17" s="41"/>
      <c r="P17" s="50"/>
    </row>
    <row r="18">
      <c r="A18" s="41"/>
      <c r="B18" s="42" t="s">
        <v>68</v>
      </c>
      <c r="C18" s="42" t="s">
        <v>69</v>
      </c>
      <c r="D18" s="42" t="s">
        <v>47</v>
      </c>
      <c r="E18" s="41"/>
      <c r="F18" s="42" t="s">
        <v>70</v>
      </c>
      <c r="G18" s="44">
        <v>1.0</v>
      </c>
      <c r="H18" s="49" t="str">
        <f t="array" ref="H18">IF(INDEX(A:A,ROW())="","",SUMIF(Vendas!$B$5:$B$504,INDEX(A:A,ROW()),Vendas!$D$5:$D$504))</f>
        <v/>
      </c>
      <c r="I18" s="44">
        <v>1.0</v>
      </c>
      <c r="J18" s="45">
        <v>799.0</v>
      </c>
      <c r="K18" s="46">
        <f t="shared" si="1"/>
        <v>479.4</v>
      </c>
      <c r="L18" s="47">
        <v>0.4</v>
      </c>
      <c r="M18" s="41" t="str">
        <f t="shared" si="2"/>
        <v/>
      </c>
      <c r="N18" s="41"/>
      <c r="O18" s="41"/>
      <c r="P18" s="50"/>
    </row>
    <row r="19">
      <c r="A19" s="41"/>
      <c r="B19" s="42" t="s">
        <v>71</v>
      </c>
      <c r="C19" s="42" t="s">
        <v>72</v>
      </c>
      <c r="D19" s="42" t="s">
        <v>43</v>
      </c>
      <c r="E19" s="41"/>
      <c r="F19" s="42" t="s">
        <v>73</v>
      </c>
      <c r="G19" s="44">
        <v>1.0</v>
      </c>
      <c r="H19" s="49" t="str">
        <f t="array" ref="H19">IF(INDEX(A:A,ROW())="","",SUMIF(Vendas!$B$5:$B$504,INDEX(A:A,ROW()),Vendas!$D$5:$D$504))</f>
        <v/>
      </c>
      <c r="I19" s="44">
        <v>1.0</v>
      </c>
      <c r="J19" s="45">
        <v>298.68</v>
      </c>
      <c r="K19" s="46">
        <f t="shared" si="1"/>
        <v>179.208</v>
      </c>
      <c r="L19" s="47">
        <v>0.4</v>
      </c>
      <c r="M19" s="41" t="str">
        <f t="shared" si="2"/>
        <v/>
      </c>
      <c r="N19" s="41"/>
      <c r="O19" s="41"/>
      <c r="P19" s="50"/>
    </row>
    <row r="20">
      <c r="A20" s="41"/>
      <c r="B20" s="42" t="s">
        <v>74</v>
      </c>
      <c r="C20" s="42" t="s">
        <v>75</v>
      </c>
      <c r="D20" s="42" t="s">
        <v>47</v>
      </c>
      <c r="E20" s="41"/>
      <c r="F20" s="42" t="s">
        <v>76</v>
      </c>
      <c r="G20" s="44">
        <v>1.0</v>
      </c>
      <c r="H20" s="49" t="str">
        <f t="array" ref="H20">IF(INDEX(A:A,ROW())="","",SUMIF(Vendas!$B$5:$B$504,INDEX(A:A,ROW()),Vendas!$D$5:$D$504))</f>
        <v/>
      </c>
      <c r="I20" s="44">
        <v>1.0</v>
      </c>
      <c r="J20" s="45">
        <v>279.0</v>
      </c>
      <c r="K20" s="46">
        <f t="shared" si="1"/>
        <v>167.4</v>
      </c>
      <c r="L20" s="47">
        <v>0.4</v>
      </c>
      <c r="M20" s="41" t="str">
        <f t="shared" si="2"/>
        <v/>
      </c>
      <c r="N20" s="41"/>
      <c r="O20" s="41"/>
      <c r="P20" s="50"/>
    </row>
    <row r="21">
      <c r="A21" s="41"/>
      <c r="B21" s="42" t="s">
        <v>77</v>
      </c>
      <c r="C21" s="42" t="s">
        <v>75</v>
      </c>
      <c r="D21" s="42" t="s">
        <v>43</v>
      </c>
      <c r="E21" s="41"/>
      <c r="F21" s="42" t="s">
        <v>51</v>
      </c>
      <c r="G21" s="44">
        <v>1.0</v>
      </c>
      <c r="H21" s="49" t="str">
        <f t="array" ref="H21">IF(INDEX(A:A,ROW())="","",SUMIF(Vendas!$B$5:$B$504,INDEX(A:A,ROW()),Vendas!$D$5:$D$504))</f>
        <v/>
      </c>
      <c r="I21" s="44">
        <v>1.0</v>
      </c>
      <c r="J21" s="45">
        <v>328.0</v>
      </c>
      <c r="K21" s="46">
        <f t="shared" si="1"/>
        <v>196.8</v>
      </c>
      <c r="L21" s="47">
        <v>0.4</v>
      </c>
      <c r="M21" s="41" t="str">
        <f t="shared" si="2"/>
        <v/>
      </c>
      <c r="N21" s="41"/>
      <c r="O21" s="41"/>
      <c r="P21" s="50"/>
    </row>
    <row r="22">
      <c r="A22" s="41"/>
      <c r="B22" s="42" t="s">
        <v>78</v>
      </c>
      <c r="C22" s="42" t="s">
        <v>64</v>
      </c>
      <c r="D22" s="42" t="s">
        <v>43</v>
      </c>
      <c r="E22" s="41"/>
      <c r="F22" s="42" t="s">
        <v>51</v>
      </c>
      <c r="G22" s="44">
        <v>2.0</v>
      </c>
      <c r="H22" s="49" t="str">
        <f t="array" ref="H22">IF(INDEX(A:A,ROW())="","",SUMIF(Vendas!$B$5:$B$504,INDEX(A:A,ROW()),Vendas!$D$5:$D$504))</f>
        <v/>
      </c>
      <c r="I22" s="44">
        <v>2.0</v>
      </c>
      <c r="J22" s="45">
        <v>249.0</v>
      </c>
      <c r="K22" s="46">
        <f t="shared" si="1"/>
        <v>149.4</v>
      </c>
      <c r="L22" s="47">
        <v>0.4</v>
      </c>
      <c r="M22" s="41" t="str">
        <f t="shared" si="2"/>
        <v/>
      </c>
      <c r="N22" s="41"/>
      <c r="O22" s="41"/>
      <c r="P22" s="50"/>
    </row>
    <row r="23">
      <c r="A23" s="41"/>
      <c r="B23" s="42" t="s">
        <v>79</v>
      </c>
      <c r="C23" s="42" t="s">
        <v>46</v>
      </c>
      <c r="D23" s="42" t="s">
        <v>43</v>
      </c>
      <c r="E23" s="41"/>
      <c r="F23" s="42" t="s">
        <v>44</v>
      </c>
      <c r="G23" s="44">
        <v>1.0</v>
      </c>
      <c r="H23" s="49" t="str">
        <f t="array" ref="H23">IF(INDEX(A:A,ROW())="","",SUMIF(Vendas!$B$5:$B$504,INDEX(A:A,ROW()),Vendas!$D$5:$D$504))</f>
        <v/>
      </c>
      <c r="I23" s="44">
        <v>1.0</v>
      </c>
      <c r="J23" s="45">
        <v>136.9</v>
      </c>
      <c r="K23" s="46">
        <f t="shared" si="1"/>
        <v>82.14</v>
      </c>
      <c r="L23" s="47">
        <v>0.4</v>
      </c>
      <c r="M23" s="41" t="str">
        <f t="shared" si="2"/>
        <v/>
      </c>
      <c r="N23" s="41"/>
      <c r="O23" s="41"/>
      <c r="P23" s="50"/>
    </row>
    <row r="24">
      <c r="A24" s="41"/>
      <c r="B24" s="42" t="s">
        <v>80</v>
      </c>
      <c r="C24" s="42" t="s">
        <v>64</v>
      </c>
      <c r="D24" s="42" t="s">
        <v>43</v>
      </c>
      <c r="E24" s="41"/>
      <c r="F24" s="42" t="s">
        <v>56</v>
      </c>
      <c r="G24" s="44">
        <v>1.0</v>
      </c>
      <c r="H24" s="49" t="str">
        <f t="array" ref="H24">IF(INDEX(A:A,ROW())="","",SUMIF(Vendas!$B$5:$B$504,INDEX(A:A,ROW()),Vendas!$D$5:$D$504))</f>
        <v/>
      </c>
      <c r="I24" s="44">
        <v>1.0</v>
      </c>
      <c r="J24" s="45">
        <v>174.99</v>
      </c>
      <c r="K24" s="46">
        <f t="shared" si="1"/>
        <v>104.994</v>
      </c>
      <c r="L24" s="47">
        <v>0.4</v>
      </c>
      <c r="M24" s="41" t="str">
        <f t="shared" si="2"/>
        <v/>
      </c>
      <c r="N24" s="41"/>
      <c r="O24" s="41"/>
      <c r="P24" s="50"/>
    </row>
    <row r="25">
      <c r="A25" s="41"/>
      <c r="B25" s="42" t="s">
        <v>81</v>
      </c>
      <c r="C25" s="42" t="s">
        <v>64</v>
      </c>
      <c r="D25" s="42" t="s">
        <v>43</v>
      </c>
      <c r="E25" s="41"/>
      <c r="F25" s="42" t="s">
        <v>51</v>
      </c>
      <c r="G25" s="44">
        <v>3.0</v>
      </c>
      <c r="H25" s="49" t="str">
        <f t="array" ref="H25">IF(INDEX(A:A,ROW())="","",SUMIF(Vendas!$B$5:$B$504,INDEX(A:A,ROW()),Vendas!$D$5:$D$504))</f>
        <v/>
      </c>
      <c r="I25" s="44">
        <v>3.0</v>
      </c>
      <c r="J25" s="45">
        <v>219.0</v>
      </c>
      <c r="K25" s="46">
        <f t="shared" si="1"/>
        <v>131.4</v>
      </c>
      <c r="L25" s="47">
        <v>0.4</v>
      </c>
      <c r="M25" s="41" t="str">
        <f t="shared" si="2"/>
        <v/>
      </c>
      <c r="N25" s="41"/>
      <c r="O25" s="41"/>
      <c r="P25" s="50"/>
    </row>
    <row r="26">
      <c r="A26" s="41"/>
      <c r="B26" s="42" t="s">
        <v>82</v>
      </c>
      <c r="C26" s="42" t="s">
        <v>64</v>
      </c>
      <c r="D26" s="42" t="s">
        <v>43</v>
      </c>
      <c r="E26" s="41"/>
      <c r="F26" s="42" t="s">
        <v>51</v>
      </c>
      <c r="G26" s="44">
        <v>1.0</v>
      </c>
      <c r="H26" s="49" t="str">
        <f t="array" ref="H26">IF(INDEX(A:A,ROW())="","",SUMIF(Vendas!$B$5:$B$504,INDEX(A:A,ROW()),Vendas!$D$5:$D$504))</f>
        <v/>
      </c>
      <c r="I26" s="44">
        <v>1.0</v>
      </c>
      <c r="J26" s="45">
        <v>209.0</v>
      </c>
      <c r="K26" s="46">
        <f t="shared" si="1"/>
        <v>125.4</v>
      </c>
      <c r="L26" s="47">
        <v>0.4</v>
      </c>
      <c r="M26" s="41" t="str">
        <f t="shared" si="2"/>
        <v/>
      </c>
      <c r="N26" s="41"/>
      <c r="O26" s="41"/>
      <c r="P26" s="50"/>
    </row>
    <row r="27">
      <c r="A27" s="41"/>
      <c r="B27" s="42" t="s">
        <v>83</v>
      </c>
      <c r="C27" s="42" t="s">
        <v>64</v>
      </c>
      <c r="D27" s="42" t="s">
        <v>43</v>
      </c>
      <c r="E27" s="41"/>
      <c r="F27" s="42" t="s">
        <v>51</v>
      </c>
      <c r="G27" s="44">
        <v>2.0</v>
      </c>
      <c r="H27" s="49" t="str">
        <f t="array" ref="H27">IF(INDEX(A:A,ROW())="","",SUMIF(Vendas!$B$5:$B$504,INDEX(A:A,ROW()),Vendas!$D$5:$D$504))</f>
        <v/>
      </c>
      <c r="I27" s="44">
        <v>2.0</v>
      </c>
      <c r="J27" s="45">
        <v>269.0</v>
      </c>
      <c r="K27" s="46">
        <f t="shared" si="1"/>
        <v>161.4</v>
      </c>
      <c r="L27" s="47">
        <v>0.4</v>
      </c>
      <c r="M27" s="41" t="str">
        <f t="shared" si="2"/>
        <v/>
      </c>
      <c r="N27" s="41"/>
      <c r="O27" s="41"/>
      <c r="P27" s="50"/>
    </row>
    <row r="28">
      <c r="A28" s="41"/>
      <c r="B28" s="42" t="s">
        <v>84</v>
      </c>
      <c r="C28" s="42" t="s">
        <v>64</v>
      </c>
      <c r="D28" s="42" t="s">
        <v>43</v>
      </c>
      <c r="E28" s="41"/>
      <c r="F28" s="42" t="s">
        <v>51</v>
      </c>
      <c r="G28" s="44">
        <v>1.0</v>
      </c>
      <c r="H28" s="49" t="str">
        <f t="array" ref="H28">IF(INDEX(A:A,ROW())="","",SUMIF(Vendas!$B$5:$B$504,INDEX(A:A,ROW()),Vendas!$D$5:$D$504))</f>
        <v/>
      </c>
      <c r="I28" s="44">
        <v>1.0</v>
      </c>
      <c r="J28" s="45">
        <v>230.0</v>
      </c>
      <c r="K28" s="46">
        <f t="shared" si="1"/>
        <v>138</v>
      </c>
      <c r="L28" s="47">
        <v>0.4</v>
      </c>
      <c r="M28" s="41" t="str">
        <f t="shared" si="2"/>
        <v/>
      </c>
      <c r="N28" s="41"/>
      <c r="O28" s="41"/>
      <c r="P28" s="50"/>
    </row>
    <row r="29">
      <c r="A29" s="41"/>
      <c r="B29" s="53" t="s">
        <v>85</v>
      </c>
      <c r="C29" s="42" t="s">
        <v>86</v>
      </c>
      <c r="D29" s="42" t="s">
        <v>43</v>
      </c>
      <c r="E29" s="41"/>
      <c r="F29" s="42" t="s">
        <v>51</v>
      </c>
      <c r="G29" s="44">
        <v>1.0</v>
      </c>
      <c r="H29" s="49" t="str">
        <f t="array" ref="H29">IF(INDEX(A:A,ROW())="","",SUMIF(Vendas!$B$5:$B$504,INDEX(A:A,ROW()),Vendas!$D$5:$D$504))</f>
        <v/>
      </c>
      <c r="I29" s="44">
        <v>1.0</v>
      </c>
      <c r="J29" s="45">
        <v>379.0</v>
      </c>
      <c r="K29" s="46">
        <f t="shared" si="1"/>
        <v>265.3</v>
      </c>
      <c r="L29" s="47">
        <v>0.3</v>
      </c>
      <c r="M29" s="41" t="str">
        <f t="shared" si="2"/>
        <v/>
      </c>
      <c r="N29" s="41"/>
      <c r="O29" s="41"/>
      <c r="P29" s="50"/>
    </row>
    <row r="30">
      <c r="A30" s="41"/>
      <c r="B30" s="42" t="s">
        <v>87</v>
      </c>
      <c r="C30" s="42" t="s">
        <v>88</v>
      </c>
      <c r="D30" s="42" t="s">
        <v>89</v>
      </c>
      <c r="E30" s="41"/>
      <c r="F30" s="42" t="s">
        <v>51</v>
      </c>
      <c r="G30" s="44">
        <v>4.0</v>
      </c>
      <c r="H30" s="49" t="str">
        <f t="array" ref="H30">IF(INDEX(A:A,ROW())="","",SUMIF(Vendas!$B$5:$B$504,INDEX(A:A,ROW()),Vendas!$D$5:$D$504))</f>
        <v/>
      </c>
      <c r="I30" s="44">
        <v>4.0</v>
      </c>
      <c r="J30" s="45">
        <v>106.0</v>
      </c>
      <c r="K30" s="46">
        <f t="shared" si="1"/>
        <v>53</v>
      </c>
      <c r="L30" s="47">
        <v>0.5</v>
      </c>
      <c r="M30" s="41" t="str">
        <f t="shared" si="2"/>
        <v/>
      </c>
      <c r="N30" s="41"/>
      <c r="O30" s="41"/>
      <c r="P30" s="50"/>
    </row>
    <row r="31">
      <c r="A31" s="41"/>
      <c r="B31" s="41"/>
      <c r="C31" s="41"/>
      <c r="D31" s="41"/>
      <c r="E31" s="41"/>
      <c r="F31" s="41"/>
      <c r="G31" s="49"/>
      <c r="H31" s="49" t="str">
        <f t="array" ref="H31">IF(INDEX(A:A,ROW())="","",SUMIF(Vendas!$B$5:$B$504,INDEX(A:A,ROW()),Vendas!$D$5:$D$504))</f>
        <v/>
      </c>
      <c r="I31" s="49" t="str">
        <f t="shared" ref="I31:I107" si="3">IF(INDEX(A:A,ROW())="","",INDEX(G:G,ROW())-INDEX(H:H,ROW()))</f>
        <v/>
      </c>
      <c r="J31" s="54"/>
      <c r="K31" s="46" t="str">
        <f t="shared" si="1"/>
        <v/>
      </c>
      <c r="L31" s="55"/>
      <c r="M31" s="41" t="str">
        <f t="shared" si="2"/>
        <v/>
      </c>
      <c r="N31" s="41"/>
      <c r="O31" s="41"/>
      <c r="P31" s="50"/>
    </row>
    <row r="32">
      <c r="A32" s="41"/>
      <c r="B32" s="41"/>
      <c r="C32" s="41"/>
      <c r="D32" s="41"/>
      <c r="E32" s="41"/>
      <c r="F32" s="41"/>
      <c r="G32" s="49"/>
      <c r="H32" s="49" t="str">
        <f t="array" ref="H32">IF(INDEX(A:A,ROW())="","",SUMIF(Vendas!$B$5:$B$504,INDEX(A:A,ROW()),Vendas!$D$5:$D$504))</f>
        <v/>
      </c>
      <c r="I32" s="49" t="str">
        <f t="shared" si="3"/>
        <v/>
      </c>
      <c r="J32" s="54"/>
      <c r="K32" s="46" t="str">
        <f t="shared" si="1"/>
        <v/>
      </c>
      <c r="L32" s="55"/>
      <c r="M32" s="41" t="str">
        <f t="shared" si="2"/>
        <v/>
      </c>
      <c r="N32" s="41"/>
      <c r="O32" s="41"/>
      <c r="P32" s="50"/>
    </row>
    <row r="33">
      <c r="A33" s="41"/>
      <c r="B33" s="41"/>
      <c r="C33" s="41"/>
      <c r="D33" s="41"/>
      <c r="E33" s="41"/>
      <c r="F33" s="41"/>
      <c r="G33" s="49"/>
      <c r="H33" s="49" t="str">
        <f t="array" ref="H33">IF(INDEX(A:A,ROW())="","",SUMIF(Vendas!$B$5:$B$504,INDEX(A:A,ROW()),Vendas!$D$5:$D$504))</f>
        <v/>
      </c>
      <c r="I33" s="49" t="str">
        <f t="shared" si="3"/>
        <v/>
      </c>
      <c r="J33" s="54"/>
      <c r="K33" s="46" t="str">
        <f t="shared" si="1"/>
        <v/>
      </c>
      <c r="L33" s="55"/>
      <c r="M33" s="41" t="str">
        <f t="shared" si="2"/>
        <v/>
      </c>
      <c r="N33" s="41"/>
      <c r="O33" s="41"/>
      <c r="P33" s="50"/>
    </row>
    <row r="34">
      <c r="A34" s="41"/>
      <c r="B34" s="41"/>
      <c r="C34" s="41"/>
      <c r="D34" s="41"/>
      <c r="E34" s="41"/>
      <c r="F34" s="41"/>
      <c r="G34" s="49"/>
      <c r="H34" s="49" t="str">
        <f t="array" ref="H34">IF(INDEX(A:A,ROW())="","",SUMIF(Vendas!$B$5:$B$504,INDEX(A:A,ROW()),Vendas!$D$5:$D$504))</f>
        <v/>
      </c>
      <c r="I34" s="49" t="str">
        <f t="shared" si="3"/>
        <v/>
      </c>
      <c r="J34" s="54"/>
      <c r="K34" s="46" t="str">
        <f t="shared" si="1"/>
        <v/>
      </c>
      <c r="L34" s="55"/>
      <c r="M34" s="41" t="str">
        <f t="shared" si="2"/>
        <v/>
      </c>
      <c r="N34" s="41"/>
      <c r="O34" s="41"/>
      <c r="P34" s="50"/>
    </row>
    <row r="35">
      <c r="A35" s="41"/>
      <c r="B35" s="41"/>
      <c r="C35" s="41"/>
      <c r="D35" s="41"/>
      <c r="E35" s="41"/>
      <c r="F35" s="41"/>
      <c r="G35" s="49"/>
      <c r="H35" s="49" t="str">
        <f t="array" ref="H35">IF(INDEX(A:A,ROW())="","",SUMIF(Vendas!$B$5:$B$504,INDEX(A:A,ROW()),Vendas!$D$5:$D$504))</f>
        <v/>
      </c>
      <c r="I35" s="49" t="str">
        <f t="shared" si="3"/>
        <v/>
      </c>
      <c r="J35" s="54"/>
      <c r="K35" s="46" t="str">
        <f t="shared" si="1"/>
        <v/>
      </c>
      <c r="L35" s="55"/>
      <c r="M35" s="41" t="str">
        <f t="shared" si="2"/>
        <v/>
      </c>
      <c r="N35" s="41"/>
      <c r="O35" s="41"/>
      <c r="P35" s="50"/>
    </row>
    <row r="36">
      <c r="A36" s="41"/>
      <c r="B36" s="41"/>
      <c r="C36" s="41"/>
      <c r="D36" s="41"/>
      <c r="E36" s="41"/>
      <c r="F36" s="41"/>
      <c r="G36" s="49"/>
      <c r="H36" s="49" t="str">
        <f t="array" ref="H36">IF(INDEX(A:A,ROW())="","",SUMIF(Vendas!$B$5:$B$504,INDEX(A:A,ROW()),Vendas!$D$5:$D$504))</f>
        <v/>
      </c>
      <c r="I36" s="49" t="str">
        <f t="shared" si="3"/>
        <v/>
      </c>
      <c r="J36" s="54"/>
      <c r="K36" s="46" t="str">
        <f t="shared" si="1"/>
        <v/>
      </c>
      <c r="L36" s="55"/>
      <c r="M36" s="41" t="str">
        <f t="shared" si="2"/>
        <v/>
      </c>
      <c r="N36" s="41"/>
      <c r="O36" s="41"/>
      <c r="P36" s="50"/>
    </row>
    <row r="37">
      <c r="A37" s="41"/>
      <c r="B37" s="41"/>
      <c r="C37" s="41"/>
      <c r="D37" s="41"/>
      <c r="E37" s="41"/>
      <c r="F37" s="41"/>
      <c r="G37" s="49"/>
      <c r="H37" s="49" t="str">
        <f t="array" ref="H37">IF(INDEX(A:A,ROW())="","",SUMIF(Vendas!$B$5:$B$504,INDEX(A:A,ROW()),Vendas!$D$5:$D$504))</f>
        <v/>
      </c>
      <c r="I37" s="49" t="str">
        <f t="shared" si="3"/>
        <v/>
      </c>
      <c r="J37" s="54"/>
      <c r="K37" s="46" t="str">
        <f t="shared" si="1"/>
        <v/>
      </c>
      <c r="L37" s="55"/>
      <c r="M37" s="41" t="str">
        <f t="shared" si="2"/>
        <v/>
      </c>
      <c r="N37" s="41"/>
      <c r="O37" s="41"/>
      <c r="P37" s="50"/>
    </row>
    <row r="38">
      <c r="A38" s="41"/>
      <c r="B38" s="41"/>
      <c r="C38" s="41"/>
      <c r="D38" s="41"/>
      <c r="E38" s="41"/>
      <c r="F38" s="41"/>
      <c r="G38" s="49"/>
      <c r="H38" s="49" t="str">
        <f t="array" ref="H38">IF(INDEX(A:A,ROW())="","",SUMIF(Vendas!$B$5:$B$504,INDEX(A:A,ROW()),Vendas!$D$5:$D$504))</f>
        <v/>
      </c>
      <c r="I38" s="49" t="str">
        <f t="shared" si="3"/>
        <v/>
      </c>
      <c r="J38" s="54"/>
      <c r="K38" s="46" t="str">
        <f t="shared" si="1"/>
        <v/>
      </c>
      <c r="L38" s="55"/>
      <c r="M38" s="41" t="str">
        <f t="shared" si="2"/>
        <v/>
      </c>
      <c r="N38" s="41"/>
      <c r="O38" s="41"/>
      <c r="P38" s="50"/>
    </row>
    <row r="39">
      <c r="A39" s="41"/>
      <c r="B39" s="41"/>
      <c r="C39" s="41"/>
      <c r="D39" s="41"/>
      <c r="E39" s="41"/>
      <c r="F39" s="41"/>
      <c r="G39" s="49"/>
      <c r="H39" s="49" t="str">
        <f t="array" ref="H39">IF(INDEX(A:A,ROW())="","",SUMIF(Vendas!$B$5:$B$504,INDEX(A:A,ROW()),Vendas!$D$5:$D$504))</f>
        <v/>
      </c>
      <c r="I39" s="49" t="str">
        <f t="shared" si="3"/>
        <v/>
      </c>
      <c r="J39" s="54"/>
      <c r="K39" s="46" t="str">
        <f t="shared" si="1"/>
        <v/>
      </c>
      <c r="L39" s="55"/>
      <c r="M39" s="41" t="str">
        <f t="shared" si="2"/>
        <v/>
      </c>
      <c r="N39" s="41"/>
      <c r="O39" s="41"/>
      <c r="P39" s="50"/>
    </row>
    <row r="40">
      <c r="A40" s="41"/>
      <c r="B40" s="41"/>
      <c r="C40" s="41"/>
      <c r="D40" s="41"/>
      <c r="E40" s="41"/>
      <c r="F40" s="41"/>
      <c r="G40" s="49"/>
      <c r="H40" s="49" t="str">
        <f t="array" ref="H40">IF(INDEX(A:A,ROW())="","",SUMIF(Vendas!$B$5:$B$504,INDEX(A:A,ROW()),Vendas!$D$5:$D$504))</f>
        <v/>
      </c>
      <c r="I40" s="49" t="str">
        <f t="shared" si="3"/>
        <v/>
      </c>
      <c r="J40" s="54"/>
      <c r="K40" s="46" t="str">
        <f t="shared" si="1"/>
        <v/>
      </c>
      <c r="L40" s="55"/>
      <c r="M40" s="41" t="str">
        <f t="shared" si="2"/>
        <v/>
      </c>
      <c r="N40" s="41"/>
      <c r="O40" s="41"/>
      <c r="P40" s="50"/>
    </row>
    <row r="41">
      <c r="A41" s="41"/>
      <c r="B41" s="41"/>
      <c r="C41" s="41"/>
      <c r="D41" s="41"/>
      <c r="E41" s="41"/>
      <c r="F41" s="41"/>
      <c r="G41" s="49"/>
      <c r="H41" s="49" t="str">
        <f t="array" ref="H41">IF(INDEX(A:A,ROW())="","",SUMIF(Vendas!$B$5:$B$504,INDEX(A:A,ROW()),Vendas!$D$5:$D$504))</f>
        <v/>
      </c>
      <c r="I41" s="49" t="str">
        <f t="shared" si="3"/>
        <v/>
      </c>
      <c r="J41" s="54"/>
      <c r="K41" s="46" t="str">
        <f t="shared" si="1"/>
        <v/>
      </c>
      <c r="L41" s="55"/>
      <c r="M41" s="41" t="str">
        <f t="shared" si="2"/>
        <v/>
      </c>
      <c r="N41" s="41"/>
      <c r="O41" s="41"/>
      <c r="P41" s="50"/>
    </row>
    <row r="42">
      <c r="A42" s="41"/>
      <c r="B42" s="41"/>
      <c r="C42" s="41"/>
      <c r="D42" s="41"/>
      <c r="E42" s="41"/>
      <c r="F42" s="41"/>
      <c r="G42" s="49"/>
      <c r="H42" s="49" t="str">
        <f t="array" ref="H42">IF(INDEX(A:A,ROW())="","",SUMIF(Vendas!$B$5:$B$504,INDEX(A:A,ROW()),Vendas!$D$5:$D$504))</f>
        <v/>
      </c>
      <c r="I42" s="49" t="str">
        <f t="shared" si="3"/>
        <v/>
      </c>
      <c r="J42" s="54"/>
      <c r="K42" s="46" t="str">
        <f t="shared" si="1"/>
        <v/>
      </c>
      <c r="L42" s="55"/>
      <c r="M42" s="41" t="str">
        <f t="shared" si="2"/>
        <v/>
      </c>
      <c r="N42" s="41"/>
      <c r="O42" s="41"/>
      <c r="P42" s="50"/>
    </row>
    <row r="43">
      <c r="A43" s="41"/>
      <c r="B43" s="41"/>
      <c r="C43" s="41"/>
      <c r="D43" s="41"/>
      <c r="E43" s="41"/>
      <c r="F43" s="41"/>
      <c r="G43" s="49"/>
      <c r="H43" s="49" t="str">
        <f t="array" ref="H43">IF(INDEX(A:A,ROW())="","",SUMIF(Vendas!$B$5:$B$504,INDEX(A:A,ROW()),Vendas!$D$5:$D$504))</f>
        <v/>
      </c>
      <c r="I43" s="49" t="str">
        <f t="shared" si="3"/>
        <v/>
      </c>
      <c r="J43" s="54"/>
      <c r="K43" s="46" t="str">
        <f t="shared" si="1"/>
        <v/>
      </c>
      <c r="L43" s="55"/>
      <c r="M43" s="41" t="str">
        <f t="shared" si="2"/>
        <v/>
      </c>
      <c r="N43" s="41"/>
      <c r="O43" s="41"/>
      <c r="P43" s="50"/>
    </row>
    <row r="44">
      <c r="A44" s="41"/>
      <c r="B44" s="41"/>
      <c r="C44" s="41"/>
      <c r="D44" s="41"/>
      <c r="E44" s="41"/>
      <c r="F44" s="41"/>
      <c r="G44" s="49"/>
      <c r="H44" s="49" t="str">
        <f t="array" ref="H44">IF(INDEX(A:A,ROW())="","",SUMIF(Vendas!$B$5:$B$504,INDEX(A:A,ROW()),Vendas!$D$5:$D$504))</f>
        <v/>
      </c>
      <c r="I44" s="49" t="str">
        <f t="shared" si="3"/>
        <v/>
      </c>
      <c r="J44" s="54"/>
      <c r="K44" s="46" t="str">
        <f t="shared" si="1"/>
        <v/>
      </c>
      <c r="L44" s="55"/>
      <c r="M44" s="41" t="str">
        <f t="shared" si="2"/>
        <v/>
      </c>
      <c r="N44" s="41"/>
      <c r="O44" s="41"/>
      <c r="P44" s="50"/>
    </row>
    <row r="45">
      <c r="A45" s="41"/>
      <c r="B45" s="41"/>
      <c r="C45" s="41"/>
      <c r="D45" s="41"/>
      <c r="E45" s="41"/>
      <c r="F45" s="41"/>
      <c r="G45" s="49"/>
      <c r="H45" s="49" t="str">
        <f t="array" ref="H45">IF(INDEX(A:A,ROW())="","",SUMIF(Vendas!$B$5:$B$504,INDEX(A:A,ROW()),Vendas!$D$5:$D$504))</f>
        <v/>
      </c>
      <c r="I45" s="49" t="str">
        <f t="shared" si="3"/>
        <v/>
      </c>
      <c r="J45" s="54"/>
      <c r="K45" s="46" t="str">
        <f t="shared" si="1"/>
        <v/>
      </c>
      <c r="L45" s="55"/>
      <c r="M45" s="41" t="str">
        <f t="shared" si="2"/>
        <v/>
      </c>
      <c r="N45" s="41"/>
      <c r="O45" s="41"/>
      <c r="P45" s="50"/>
    </row>
    <row r="46">
      <c r="A46" s="41"/>
      <c r="B46" s="41"/>
      <c r="C46" s="41"/>
      <c r="D46" s="41"/>
      <c r="E46" s="41"/>
      <c r="F46" s="41"/>
      <c r="G46" s="49"/>
      <c r="H46" s="49" t="str">
        <f t="array" ref="H46">IF(INDEX(A:A,ROW())="","",SUMIF(Vendas!$B$5:$B$504,INDEX(A:A,ROW()),Vendas!$D$5:$D$504))</f>
        <v/>
      </c>
      <c r="I46" s="49" t="str">
        <f t="shared" si="3"/>
        <v/>
      </c>
      <c r="J46" s="54"/>
      <c r="K46" s="46" t="str">
        <f t="shared" si="1"/>
        <v/>
      </c>
      <c r="L46" s="55"/>
      <c r="M46" s="41" t="str">
        <f t="shared" si="2"/>
        <v/>
      </c>
      <c r="N46" s="41"/>
      <c r="O46" s="41"/>
      <c r="P46" s="50"/>
    </row>
    <row r="47">
      <c r="A47" s="41"/>
      <c r="B47" s="41"/>
      <c r="C47" s="41"/>
      <c r="D47" s="41"/>
      <c r="E47" s="41"/>
      <c r="F47" s="41"/>
      <c r="G47" s="49"/>
      <c r="H47" s="49" t="str">
        <f t="array" ref="H47">IF(INDEX(A:A,ROW())="","",SUMIF(Vendas!$B$5:$B$504,INDEX(A:A,ROW()),Vendas!$D$5:$D$504))</f>
        <v/>
      </c>
      <c r="I47" s="49" t="str">
        <f t="shared" si="3"/>
        <v/>
      </c>
      <c r="J47" s="54"/>
      <c r="K47" s="46" t="str">
        <f t="shared" si="1"/>
        <v/>
      </c>
      <c r="L47" s="55"/>
      <c r="M47" s="41" t="str">
        <f t="shared" si="2"/>
        <v/>
      </c>
      <c r="N47" s="41"/>
      <c r="O47" s="41"/>
      <c r="P47" s="50"/>
    </row>
    <row r="48">
      <c r="A48" s="41"/>
      <c r="B48" s="41"/>
      <c r="C48" s="41"/>
      <c r="D48" s="41"/>
      <c r="E48" s="41"/>
      <c r="F48" s="41"/>
      <c r="G48" s="49"/>
      <c r="H48" s="49" t="str">
        <f t="array" ref="H48">IF(INDEX(A:A,ROW())="","",SUMIF(Vendas!$B$5:$B$504,INDEX(A:A,ROW()),Vendas!$D$5:$D$504))</f>
        <v/>
      </c>
      <c r="I48" s="49" t="str">
        <f t="shared" si="3"/>
        <v/>
      </c>
      <c r="J48" s="54"/>
      <c r="K48" s="46" t="str">
        <f t="shared" si="1"/>
        <v/>
      </c>
      <c r="L48" s="55"/>
      <c r="M48" s="41" t="str">
        <f t="shared" si="2"/>
        <v/>
      </c>
      <c r="N48" s="41"/>
      <c r="O48" s="41"/>
      <c r="P48" s="50"/>
    </row>
    <row r="49">
      <c r="A49" s="41"/>
      <c r="B49" s="41"/>
      <c r="C49" s="41"/>
      <c r="D49" s="41"/>
      <c r="E49" s="41"/>
      <c r="F49" s="41"/>
      <c r="G49" s="49"/>
      <c r="H49" s="49" t="str">
        <f t="array" ref="H49">IF(INDEX(A:A,ROW())="","",SUMIF(Vendas!$B$5:$B$504,INDEX(A:A,ROW()),Vendas!$D$5:$D$504))</f>
        <v/>
      </c>
      <c r="I49" s="49" t="str">
        <f t="shared" si="3"/>
        <v/>
      </c>
      <c r="J49" s="54"/>
      <c r="K49" s="46" t="str">
        <f t="shared" si="1"/>
        <v/>
      </c>
      <c r="L49" s="55"/>
      <c r="M49" s="41" t="str">
        <f t="shared" si="2"/>
        <v/>
      </c>
      <c r="N49" s="41"/>
      <c r="O49" s="41"/>
      <c r="P49" s="50"/>
    </row>
    <row r="50">
      <c r="A50" s="41"/>
      <c r="B50" s="41"/>
      <c r="C50" s="41"/>
      <c r="D50" s="41"/>
      <c r="E50" s="41"/>
      <c r="F50" s="41"/>
      <c r="G50" s="49"/>
      <c r="H50" s="49" t="str">
        <f t="array" ref="H50">IF(INDEX(A:A,ROW())="","",SUMIF(Vendas!$B$5:$B$504,INDEX(A:A,ROW()),Vendas!$D$5:$D$504))</f>
        <v/>
      </c>
      <c r="I50" s="49" t="str">
        <f t="shared" si="3"/>
        <v/>
      </c>
      <c r="J50" s="54"/>
      <c r="K50" s="46" t="str">
        <f t="shared" si="1"/>
        <v/>
      </c>
      <c r="L50" s="55"/>
      <c r="M50" s="41" t="str">
        <f t="shared" si="2"/>
        <v/>
      </c>
      <c r="N50" s="41"/>
      <c r="O50" s="41"/>
      <c r="P50" s="50"/>
    </row>
    <row r="51">
      <c r="A51" s="41"/>
      <c r="B51" s="41"/>
      <c r="C51" s="41"/>
      <c r="D51" s="41"/>
      <c r="E51" s="41"/>
      <c r="F51" s="41"/>
      <c r="G51" s="49"/>
      <c r="H51" s="49" t="str">
        <f t="array" ref="H51">IF(INDEX(A:A,ROW())="","",SUMIF(Vendas!$B$5:$B$504,INDEX(A:A,ROW()),Vendas!$D$5:$D$504))</f>
        <v/>
      </c>
      <c r="I51" s="49" t="str">
        <f t="shared" si="3"/>
        <v/>
      </c>
      <c r="J51" s="54"/>
      <c r="K51" s="46" t="str">
        <f t="shared" si="1"/>
        <v/>
      </c>
      <c r="L51" s="55"/>
      <c r="M51" s="41" t="str">
        <f t="shared" si="2"/>
        <v/>
      </c>
      <c r="N51" s="41"/>
      <c r="O51" s="41"/>
      <c r="P51" s="50"/>
    </row>
    <row r="52">
      <c r="A52" s="41"/>
      <c r="B52" s="41"/>
      <c r="C52" s="41"/>
      <c r="D52" s="41"/>
      <c r="E52" s="41"/>
      <c r="F52" s="41"/>
      <c r="G52" s="49"/>
      <c r="H52" s="49" t="str">
        <f t="array" ref="H52">IF(INDEX(A:A,ROW())="","",SUMIF(Vendas!$B$5:$B$504,INDEX(A:A,ROW()),Vendas!$D$5:$D$504))</f>
        <v/>
      </c>
      <c r="I52" s="49" t="str">
        <f t="shared" si="3"/>
        <v/>
      </c>
      <c r="J52" s="54"/>
      <c r="K52" s="46" t="str">
        <f t="shared" si="1"/>
        <v/>
      </c>
      <c r="L52" s="55"/>
      <c r="M52" s="41" t="str">
        <f t="shared" si="2"/>
        <v/>
      </c>
      <c r="N52" s="41"/>
      <c r="O52" s="41"/>
      <c r="P52" s="50"/>
    </row>
    <row r="53">
      <c r="A53" s="41"/>
      <c r="B53" s="41"/>
      <c r="C53" s="41"/>
      <c r="D53" s="41"/>
      <c r="E53" s="41"/>
      <c r="F53" s="41"/>
      <c r="G53" s="49"/>
      <c r="H53" s="49" t="str">
        <f t="array" ref="H53">IF(INDEX(A:A,ROW())="","",SUMIF(Vendas!$B$5:$B$504,INDEX(A:A,ROW()),Vendas!$D$5:$D$504))</f>
        <v/>
      </c>
      <c r="I53" s="49" t="str">
        <f t="shared" si="3"/>
        <v/>
      </c>
      <c r="J53" s="54"/>
      <c r="K53" s="46" t="str">
        <f t="shared" si="1"/>
        <v/>
      </c>
      <c r="L53" s="55"/>
      <c r="M53" s="41" t="str">
        <f t="shared" si="2"/>
        <v/>
      </c>
      <c r="N53" s="41"/>
      <c r="O53" s="41"/>
      <c r="P53" s="50"/>
    </row>
    <row r="54">
      <c r="A54" s="41"/>
      <c r="B54" s="41"/>
      <c r="C54" s="41"/>
      <c r="D54" s="41"/>
      <c r="E54" s="41"/>
      <c r="F54" s="41"/>
      <c r="G54" s="49"/>
      <c r="H54" s="49" t="str">
        <f t="array" ref="H54">IF(INDEX(A:A,ROW())="","",SUMIF(Vendas!$B$5:$B$504,INDEX(A:A,ROW()),Vendas!$D$5:$D$504))</f>
        <v/>
      </c>
      <c r="I54" s="49" t="str">
        <f t="shared" si="3"/>
        <v/>
      </c>
      <c r="J54" s="54"/>
      <c r="K54" s="46" t="str">
        <f t="shared" si="1"/>
        <v/>
      </c>
      <c r="L54" s="55"/>
      <c r="M54" s="41" t="str">
        <f t="shared" si="2"/>
        <v/>
      </c>
      <c r="N54" s="41"/>
      <c r="O54" s="41"/>
      <c r="P54" s="50"/>
    </row>
    <row r="55">
      <c r="A55" s="41"/>
      <c r="B55" s="41"/>
      <c r="C55" s="41"/>
      <c r="D55" s="41"/>
      <c r="E55" s="41"/>
      <c r="F55" s="41"/>
      <c r="G55" s="49"/>
      <c r="H55" s="49" t="str">
        <f t="array" ref="H55">IF(INDEX(A:A,ROW())="","",SUMIF(Vendas!$B$5:$B$504,INDEX(A:A,ROW()),Vendas!$D$5:$D$504))</f>
        <v/>
      </c>
      <c r="I55" s="49" t="str">
        <f t="shared" si="3"/>
        <v/>
      </c>
      <c r="J55" s="54"/>
      <c r="K55" s="46" t="str">
        <f t="shared" si="1"/>
        <v/>
      </c>
      <c r="L55" s="55"/>
      <c r="M55" s="41" t="str">
        <f t="shared" si="2"/>
        <v/>
      </c>
      <c r="N55" s="41"/>
      <c r="O55" s="41"/>
      <c r="P55" s="50"/>
    </row>
    <row r="56">
      <c r="A56" s="41"/>
      <c r="B56" s="41"/>
      <c r="C56" s="41"/>
      <c r="D56" s="41"/>
      <c r="E56" s="41"/>
      <c r="F56" s="41"/>
      <c r="G56" s="49"/>
      <c r="H56" s="49" t="str">
        <f t="array" ref="H56">IF(INDEX(A:A,ROW())="","",SUMIF(Vendas!$B$5:$B$504,INDEX(A:A,ROW()),Vendas!$D$5:$D$504))</f>
        <v/>
      </c>
      <c r="I56" s="49" t="str">
        <f t="shared" si="3"/>
        <v/>
      </c>
      <c r="J56" s="54"/>
      <c r="K56" s="46" t="str">
        <f t="shared" si="1"/>
        <v/>
      </c>
      <c r="L56" s="55"/>
      <c r="M56" s="41" t="str">
        <f t="shared" si="2"/>
        <v/>
      </c>
      <c r="N56" s="41"/>
      <c r="O56" s="41"/>
      <c r="P56" s="50"/>
    </row>
    <row r="57">
      <c r="A57" s="41"/>
      <c r="B57" s="41"/>
      <c r="C57" s="41"/>
      <c r="D57" s="41"/>
      <c r="E57" s="41"/>
      <c r="F57" s="41"/>
      <c r="G57" s="49"/>
      <c r="H57" s="49" t="str">
        <f t="array" ref="H57">IF(INDEX(A:A,ROW())="","",SUMIF(Vendas!$B$5:$B$504,INDEX(A:A,ROW()),Vendas!$D$5:$D$504))</f>
        <v/>
      </c>
      <c r="I57" s="49" t="str">
        <f t="shared" si="3"/>
        <v/>
      </c>
      <c r="J57" s="54"/>
      <c r="K57" s="46" t="str">
        <f t="shared" si="1"/>
        <v/>
      </c>
      <c r="L57" s="55"/>
      <c r="M57" s="41" t="str">
        <f t="shared" si="2"/>
        <v/>
      </c>
      <c r="N57" s="41"/>
      <c r="O57" s="41"/>
      <c r="P57" s="50"/>
    </row>
    <row r="58">
      <c r="A58" s="41"/>
      <c r="B58" s="41"/>
      <c r="C58" s="41"/>
      <c r="D58" s="41"/>
      <c r="E58" s="41"/>
      <c r="F58" s="41"/>
      <c r="G58" s="49"/>
      <c r="H58" s="49" t="str">
        <f t="array" ref="H58">IF(INDEX(A:A,ROW())="","",SUMIF(Vendas!$B$5:$B$504,INDEX(A:A,ROW()),Vendas!$D$5:$D$504))</f>
        <v/>
      </c>
      <c r="I58" s="49" t="str">
        <f t="shared" si="3"/>
        <v/>
      </c>
      <c r="J58" s="54"/>
      <c r="K58" s="46" t="str">
        <f t="shared" si="1"/>
        <v/>
      </c>
      <c r="L58" s="55"/>
      <c r="M58" s="41" t="str">
        <f t="shared" si="2"/>
        <v/>
      </c>
      <c r="N58" s="41"/>
      <c r="O58" s="41"/>
      <c r="P58" s="50"/>
    </row>
    <row r="59">
      <c r="A59" s="41"/>
      <c r="B59" s="41"/>
      <c r="C59" s="41"/>
      <c r="D59" s="41"/>
      <c r="E59" s="41"/>
      <c r="F59" s="41"/>
      <c r="G59" s="49"/>
      <c r="H59" s="49" t="str">
        <f t="array" ref="H59">IF(INDEX(A:A,ROW())="","",SUMIF(Vendas!$B$5:$B$504,INDEX(A:A,ROW()),Vendas!$D$5:$D$504))</f>
        <v/>
      </c>
      <c r="I59" s="49" t="str">
        <f t="shared" si="3"/>
        <v/>
      </c>
      <c r="J59" s="54"/>
      <c r="K59" s="46" t="str">
        <f t="shared" si="1"/>
        <v/>
      </c>
      <c r="L59" s="55"/>
      <c r="M59" s="41" t="str">
        <f t="shared" si="2"/>
        <v/>
      </c>
      <c r="N59" s="41"/>
      <c r="O59" s="41"/>
      <c r="P59" s="50"/>
    </row>
    <row r="60">
      <c r="A60" s="41"/>
      <c r="B60" s="41"/>
      <c r="C60" s="41"/>
      <c r="D60" s="41"/>
      <c r="E60" s="41"/>
      <c r="F60" s="41"/>
      <c r="G60" s="49"/>
      <c r="H60" s="49" t="str">
        <f t="array" ref="H60">IF(INDEX(A:A,ROW())="","",SUMIF(Vendas!$B$5:$B$504,INDEX(A:A,ROW()),Vendas!$D$5:$D$504))</f>
        <v/>
      </c>
      <c r="I60" s="49" t="str">
        <f t="shared" si="3"/>
        <v/>
      </c>
      <c r="J60" s="54"/>
      <c r="K60" s="46" t="str">
        <f t="shared" si="1"/>
        <v/>
      </c>
      <c r="L60" s="55"/>
      <c r="M60" s="41" t="str">
        <f t="shared" si="2"/>
        <v/>
      </c>
      <c r="N60" s="41"/>
      <c r="O60" s="41"/>
      <c r="P60" s="50"/>
    </row>
    <row r="61">
      <c r="A61" s="41"/>
      <c r="B61" s="41"/>
      <c r="C61" s="41"/>
      <c r="D61" s="41"/>
      <c r="E61" s="41"/>
      <c r="F61" s="41"/>
      <c r="G61" s="49"/>
      <c r="H61" s="49" t="str">
        <f t="array" ref="H61">IF(INDEX(A:A,ROW())="","",SUMIF(Vendas!$B$5:$B$504,INDEX(A:A,ROW()),Vendas!$D$5:$D$504))</f>
        <v/>
      </c>
      <c r="I61" s="49" t="str">
        <f t="shared" si="3"/>
        <v/>
      </c>
      <c r="J61" s="54"/>
      <c r="K61" s="46" t="str">
        <f t="shared" si="1"/>
        <v/>
      </c>
      <c r="L61" s="55"/>
      <c r="M61" s="41" t="str">
        <f t="shared" si="2"/>
        <v/>
      </c>
      <c r="N61" s="41"/>
      <c r="O61" s="41"/>
      <c r="P61" s="50"/>
    </row>
    <row r="62">
      <c r="A62" s="41"/>
      <c r="B62" s="41"/>
      <c r="C62" s="41"/>
      <c r="D62" s="41"/>
      <c r="E62" s="41"/>
      <c r="F62" s="41"/>
      <c r="G62" s="49"/>
      <c r="H62" s="49" t="str">
        <f t="array" ref="H62">IF(INDEX(A:A,ROW())="","",SUMIF(Vendas!$B$5:$B$504,INDEX(A:A,ROW()),Vendas!$D$5:$D$504))</f>
        <v/>
      </c>
      <c r="I62" s="49" t="str">
        <f t="shared" si="3"/>
        <v/>
      </c>
      <c r="J62" s="54"/>
      <c r="K62" s="46" t="str">
        <f t="shared" si="1"/>
        <v/>
      </c>
      <c r="L62" s="55"/>
      <c r="M62" s="41" t="str">
        <f t="shared" si="2"/>
        <v/>
      </c>
      <c r="N62" s="41"/>
      <c r="O62" s="41"/>
      <c r="P62" s="50"/>
    </row>
    <row r="63">
      <c r="A63" s="41"/>
      <c r="B63" s="41"/>
      <c r="C63" s="41"/>
      <c r="D63" s="41"/>
      <c r="E63" s="41"/>
      <c r="F63" s="41"/>
      <c r="G63" s="49"/>
      <c r="H63" s="49" t="str">
        <f t="array" ref="H63">IF(INDEX(A:A,ROW())="","",SUMIF(Vendas!$B$5:$B$504,INDEX(A:A,ROW()),Vendas!$D$5:$D$504))</f>
        <v/>
      </c>
      <c r="I63" s="49" t="str">
        <f t="shared" si="3"/>
        <v/>
      </c>
      <c r="J63" s="54"/>
      <c r="K63" s="46" t="str">
        <f t="shared" si="1"/>
        <v/>
      </c>
      <c r="L63" s="55"/>
      <c r="M63" s="41" t="str">
        <f t="shared" si="2"/>
        <v/>
      </c>
      <c r="N63" s="41"/>
      <c r="O63" s="41"/>
      <c r="P63" s="50"/>
    </row>
    <row r="64">
      <c r="A64" s="41"/>
      <c r="B64" s="41"/>
      <c r="C64" s="41"/>
      <c r="D64" s="41"/>
      <c r="E64" s="41"/>
      <c r="F64" s="41"/>
      <c r="G64" s="49"/>
      <c r="H64" s="49" t="str">
        <f t="array" ref="H64">IF(INDEX(A:A,ROW())="","",SUMIF(Vendas!$B$5:$B$504,INDEX(A:A,ROW()),Vendas!$D$5:$D$504))</f>
        <v/>
      </c>
      <c r="I64" s="49" t="str">
        <f t="shared" si="3"/>
        <v/>
      </c>
      <c r="J64" s="54"/>
      <c r="K64" s="46" t="str">
        <f t="shared" si="1"/>
        <v/>
      </c>
      <c r="L64" s="55"/>
      <c r="M64" s="41" t="str">
        <f t="shared" si="2"/>
        <v/>
      </c>
      <c r="N64" s="41"/>
      <c r="O64" s="41"/>
      <c r="P64" s="50"/>
    </row>
    <row r="65">
      <c r="A65" s="41"/>
      <c r="B65" s="41"/>
      <c r="C65" s="41"/>
      <c r="D65" s="41"/>
      <c r="E65" s="41"/>
      <c r="F65" s="41"/>
      <c r="G65" s="49"/>
      <c r="H65" s="49" t="str">
        <f t="array" ref="H65">IF(INDEX(A:A,ROW())="","",SUMIF(Vendas!$B$5:$B$504,INDEX(A:A,ROW()),Vendas!$D$5:$D$504))</f>
        <v/>
      </c>
      <c r="I65" s="49" t="str">
        <f t="shared" si="3"/>
        <v/>
      </c>
      <c r="J65" s="54"/>
      <c r="K65" s="46" t="str">
        <f t="shared" si="1"/>
        <v/>
      </c>
      <c r="L65" s="55"/>
      <c r="M65" s="41" t="str">
        <f t="shared" si="2"/>
        <v/>
      </c>
      <c r="N65" s="41"/>
      <c r="O65" s="41"/>
      <c r="P65" s="50"/>
    </row>
    <row r="66">
      <c r="A66" s="41"/>
      <c r="B66" s="41"/>
      <c r="C66" s="41"/>
      <c r="D66" s="41"/>
      <c r="E66" s="41"/>
      <c r="F66" s="41"/>
      <c r="G66" s="49"/>
      <c r="H66" s="49" t="str">
        <f t="array" ref="H66">IF(INDEX(A:A,ROW())="","",SUMIF(Vendas!$B$5:$B$504,INDEX(A:A,ROW()),Vendas!$D$5:$D$504))</f>
        <v/>
      </c>
      <c r="I66" s="49" t="str">
        <f t="shared" si="3"/>
        <v/>
      </c>
      <c r="J66" s="54"/>
      <c r="K66" s="46" t="str">
        <f t="shared" si="1"/>
        <v/>
      </c>
      <c r="L66" s="55"/>
      <c r="M66" s="41" t="str">
        <f t="shared" si="2"/>
        <v/>
      </c>
      <c r="N66" s="41"/>
      <c r="O66" s="41"/>
      <c r="P66" s="50"/>
    </row>
    <row r="67">
      <c r="A67" s="41"/>
      <c r="B67" s="41"/>
      <c r="C67" s="41"/>
      <c r="D67" s="41"/>
      <c r="E67" s="41"/>
      <c r="F67" s="41"/>
      <c r="G67" s="49"/>
      <c r="H67" s="49" t="str">
        <f t="array" ref="H67">IF(INDEX(A:A,ROW())="","",SUMIF(Vendas!$B$5:$B$504,INDEX(A:A,ROW()),Vendas!$D$5:$D$504))</f>
        <v/>
      </c>
      <c r="I67" s="49" t="str">
        <f t="shared" si="3"/>
        <v/>
      </c>
      <c r="J67" s="54"/>
      <c r="K67" s="46" t="str">
        <f t="shared" si="1"/>
        <v/>
      </c>
      <c r="L67" s="55"/>
      <c r="M67" s="41" t="str">
        <f t="shared" si="2"/>
        <v/>
      </c>
      <c r="N67" s="41"/>
      <c r="O67" s="41"/>
      <c r="P67" s="50"/>
    </row>
    <row r="68">
      <c r="A68" s="41"/>
      <c r="B68" s="41"/>
      <c r="C68" s="41"/>
      <c r="D68" s="41"/>
      <c r="E68" s="41"/>
      <c r="F68" s="41"/>
      <c r="G68" s="49"/>
      <c r="H68" s="49" t="str">
        <f t="array" ref="H68">IF(INDEX(A:A,ROW())="","",SUMIF(Vendas!$B$5:$B$504,INDEX(A:A,ROW()),Vendas!$D$5:$D$504))</f>
        <v/>
      </c>
      <c r="I68" s="49" t="str">
        <f t="shared" si="3"/>
        <v/>
      </c>
      <c r="J68" s="54"/>
      <c r="K68" s="46" t="str">
        <f t="shared" si="1"/>
        <v/>
      </c>
      <c r="L68" s="55"/>
      <c r="M68" s="41" t="str">
        <f t="shared" si="2"/>
        <v/>
      </c>
      <c r="N68" s="41"/>
      <c r="O68" s="41"/>
      <c r="P68" s="50"/>
    </row>
    <row r="69">
      <c r="A69" s="41"/>
      <c r="B69" s="41"/>
      <c r="C69" s="41"/>
      <c r="D69" s="41"/>
      <c r="E69" s="41"/>
      <c r="F69" s="41"/>
      <c r="G69" s="49"/>
      <c r="H69" s="49" t="str">
        <f t="array" ref="H69">IF(INDEX(A:A,ROW())="","",SUMIF(Vendas!$B$5:$B$504,INDEX(A:A,ROW()),Vendas!$D$5:$D$504))</f>
        <v/>
      </c>
      <c r="I69" s="49" t="str">
        <f t="shared" si="3"/>
        <v/>
      </c>
      <c r="J69" s="54"/>
      <c r="K69" s="46" t="str">
        <f t="shared" si="1"/>
        <v/>
      </c>
      <c r="L69" s="55"/>
      <c r="M69" s="41" t="str">
        <f t="shared" si="2"/>
        <v/>
      </c>
      <c r="N69" s="41"/>
      <c r="O69" s="41"/>
      <c r="P69" s="50"/>
    </row>
    <row r="70">
      <c r="A70" s="41"/>
      <c r="B70" s="41"/>
      <c r="C70" s="41"/>
      <c r="D70" s="41"/>
      <c r="E70" s="41"/>
      <c r="F70" s="41"/>
      <c r="G70" s="49"/>
      <c r="H70" s="49" t="str">
        <f t="array" ref="H70">IF(INDEX(A:A,ROW())="","",SUMIF(Vendas!$B$5:$B$504,INDEX(A:A,ROW()),Vendas!$D$5:$D$504))</f>
        <v/>
      </c>
      <c r="I70" s="49" t="str">
        <f t="shared" si="3"/>
        <v/>
      </c>
      <c r="J70" s="54"/>
      <c r="K70" s="46" t="str">
        <f t="shared" si="1"/>
        <v/>
      </c>
      <c r="L70" s="55"/>
      <c r="M70" s="41" t="str">
        <f t="shared" si="2"/>
        <v/>
      </c>
      <c r="N70" s="41"/>
      <c r="O70" s="41"/>
      <c r="P70" s="50"/>
    </row>
    <row r="71">
      <c r="A71" s="41"/>
      <c r="B71" s="41"/>
      <c r="C71" s="41"/>
      <c r="D71" s="41"/>
      <c r="E71" s="41"/>
      <c r="F71" s="41"/>
      <c r="G71" s="49"/>
      <c r="H71" s="49" t="str">
        <f t="array" ref="H71">IF(INDEX(A:A,ROW())="","",SUMIF(Vendas!$B$5:$B$504,INDEX(A:A,ROW()),Vendas!$D$5:$D$504))</f>
        <v/>
      </c>
      <c r="I71" s="49" t="str">
        <f t="shared" si="3"/>
        <v/>
      </c>
      <c r="J71" s="54"/>
      <c r="K71" s="46" t="str">
        <f t="shared" si="1"/>
        <v/>
      </c>
      <c r="L71" s="55"/>
      <c r="M71" s="41" t="str">
        <f t="shared" si="2"/>
        <v/>
      </c>
      <c r="N71" s="41"/>
      <c r="O71" s="41"/>
      <c r="P71" s="50"/>
    </row>
    <row r="72">
      <c r="A72" s="41"/>
      <c r="B72" s="41"/>
      <c r="C72" s="41"/>
      <c r="D72" s="41"/>
      <c r="E72" s="41"/>
      <c r="F72" s="41"/>
      <c r="G72" s="49"/>
      <c r="H72" s="49" t="str">
        <f t="array" ref="H72">IF(INDEX(A:A,ROW())="","",SUMIF(Vendas!$B$5:$B$504,INDEX(A:A,ROW()),Vendas!$D$5:$D$504))</f>
        <v/>
      </c>
      <c r="I72" s="49" t="str">
        <f t="shared" si="3"/>
        <v/>
      </c>
      <c r="J72" s="54"/>
      <c r="K72" s="46" t="str">
        <f t="shared" si="1"/>
        <v/>
      </c>
      <c r="L72" s="55"/>
      <c r="M72" s="41" t="str">
        <f t="shared" si="2"/>
        <v/>
      </c>
      <c r="N72" s="41"/>
      <c r="O72" s="41"/>
      <c r="P72" s="50"/>
    </row>
    <row r="73">
      <c r="A73" s="41"/>
      <c r="B73" s="41"/>
      <c r="C73" s="41"/>
      <c r="D73" s="41"/>
      <c r="E73" s="41"/>
      <c r="F73" s="41"/>
      <c r="G73" s="49"/>
      <c r="H73" s="49" t="str">
        <f t="array" ref="H73">IF(INDEX(A:A,ROW())="","",SUMIF(Vendas!$B$5:$B$504,INDEX(A:A,ROW()),Vendas!$D$5:$D$504))</f>
        <v/>
      </c>
      <c r="I73" s="49" t="str">
        <f t="shared" si="3"/>
        <v/>
      </c>
      <c r="J73" s="54"/>
      <c r="K73" s="46" t="str">
        <f t="shared" si="1"/>
        <v/>
      </c>
      <c r="L73" s="55"/>
      <c r="M73" s="41" t="str">
        <f t="shared" si="2"/>
        <v/>
      </c>
      <c r="N73" s="41"/>
      <c r="O73" s="41"/>
      <c r="P73" s="50"/>
    </row>
    <row r="74">
      <c r="A74" s="41"/>
      <c r="B74" s="41"/>
      <c r="C74" s="41"/>
      <c r="D74" s="41"/>
      <c r="E74" s="41"/>
      <c r="F74" s="41"/>
      <c r="G74" s="49"/>
      <c r="H74" s="49" t="str">
        <f t="array" ref="H74">IF(INDEX(A:A,ROW())="","",SUMIF(Vendas!$B$5:$B$504,INDEX(A:A,ROW()),Vendas!$D$5:$D$504))</f>
        <v/>
      </c>
      <c r="I74" s="49" t="str">
        <f t="shared" si="3"/>
        <v/>
      </c>
      <c r="J74" s="54"/>
      <c r="K74" s="46" t="str">
        <f t="shared" si="1"/>
        <v/>
      </c>
      <c r="L74" s="55"/>
      <c r="M74" s="41" t="str">
        <f t="shared" si="2"/>
        <v/>
      </c>
      <c r="N74" s="41"/>
      <c r="O74" s="41"/>
      <c r="P74" s="50"/>
    </row>
    <row r="75">
      <c r="A75" s="41"/>
      <c r="B75" s="41"/>
      <c r="C75" s="41"/>
      <c r="D75" s="41"/>
      <c r="E75" s="41"/>
      <c r="F75" s="41"/>
      <c r="G75" s="49"/>
      <c r="H75" s="49" t="str">
        <f t="array" ref="H75">IF(INDEX(A:A,ROW())="","",SUMIF(Vendas!$B$5:$B$504,INDEX(A:A,ROW()),Vendas!$D$5:$D$504))</f>
        <v/>
      </c>
      <c r="I75" s="49" t="str">
        <f t="shared" si="3"/>
        <v/>
      </c>
      <c r="J75" s="54"/>
      <c r="K75" s="46" t="str">
        <f t="shared" si="1"/>
        <v/>
      </c>
      <c r="L75" s="55"/>
      <c r="M75" s="41" t="str">
        <f t="shared" si="2"/>
        <v/>
      </c>
      <c r="N75" s="41"/>
      <c r="O75" s="41"/>
      <c r="P75" s="50"/>
    </row>
    <row r="76">
      <c r="A76" s="41"/>
      <c r="B76" s="41"/>
      <c r="C76" s="41"/>
      <c r="D76" s="41"/>
      <c r="E76" s="41"/>
      <c r="F76" s="41"/>
      <c r="G76" s="49"/>
      <c r="H76" s="49" t="str">
        <f t="array" ref="H76">IF(INDEX(A:A,ROW())="","",SUMIF(Vendas!$B$5:$B$504,INDEX(A:A,ROW()),Vendas!$D$5:$D$504))</f>
        <v/>
      </c>
      <c r="I76" s="49" t="str">
        <f t="shared" si="3"/>
        <v/>
      </c>
      <c r="J76" s="54"/>
      <c r="K76" s="46" t="str">
        <f t="shared" si="1"/>
        <v/>
      </c>
      <c r="L76" s="55"/>
      <c r="M76" s="41" t="str">
        <f t="shared" si="2"/>
        <v/>
      </c>
      <c r="N76" s="41"/>
      <c r="O76" s="41"/>
      <c r="P76" s="50"/>
    </row>
    <row r="77">
      <c r="A77" s="41"/>
      <c r="B77" s="41"/>
      <c r="C77" s="41"/>
      <c r="D77" s="41"/>
      <c r="E77" s="41"/>
      <c r="F77" s="41"/>
      <c r="G77" s="49"/>
      <c r="H77" s="49" t="str">
        <f t="array" ref="H77">IF(INDEX(A:A,ROW())="","",SUMIF(Vendas!$B$5:$B$504,INDEX(A:A,ROW()),Vendas!$D$5:$D$504))</f>
        <v/>
      </c>
      <c r="I77" s="49" t="str">
        <f t="shared" si="3"/>
        <v/>
      </c>
      <c r="J77" s="54"/>
      <c r="K77" s="46" t="str">
        <f t="shared" si="1"/>
        <v/>
      </c>
      <c r="L77" s="55"/>
      <c r="M77" s="41" t="str">
        <f t="shared" si="2"/>
        <v/>
      </c>
      <c r="N77" s="41"/>
      <c r="O77" s="41"/>
      <c r="P77" s="50"/>
    </row>
    <row r="78">
      <c r="A78" s="41"/>
      <c r="B78" s="41"/>
      <c r="C78" s="41"/>
      <c r="D78" s="41"/>
      <c r="E78" s="41"/>
      <c r="F78" s="41"/>
      <c r="G78" s="49"/>
      <c r="H78" s="49" t="str">
        <f t="array" ref="H78">IF(INDEX(A:A,ROW())="","",SUMIF(Vendas!$B$5:$B$504,INDEX(A:A,ROW()),Vendas!$D$5:$D$504))</f>
        <v/>
      </c>
      <c r="I78" s="49" t="str">
        <f t="shared" si="3"/>
        <v/>
      </c>
      <c r="J78" s="54"/>
      <c r="K78" s="46" t="str">
        <f t="shared" si="1"/>
        <v/>
      </c>
      <c r="L78" s="55"/>
      <c r="M78" s="41" t="str">
        <f t="shared" si="2"/>
        <v/>
      </c>
      <c r="N78" s="41"/>
      <c r="O78" s="41"/>
      <c r="P78" s="50"/>
    </row>
    <row r="79">
      <c r="A79" s="41"/>
      <c r="B79" s="41"/>
      <c r="C79" s="41"/>
      <c r="D79" s="41"/>
      <c r="E79" s="41"/>
      <c r="F79" s="41"/>
      <c r="G79" s="49"/>
      <c r="H79" s="49" t="str">
        <f t="array" ref="H79">IF(INDEX(A:A,ROW())="","",SUMIF(Vendas!$B$5:$B$504,INDEX(A:A,ROW()),Vendas!$D$5:$D$504))</f>
        <v/>
      </c>
      <c r="I79" s="49" t="str">
        <f t="shared" si="3"/>
        <v/>
      </c>
      <c r="J79" s="54"/>
      <c r="K79" s="46" t="str">
        <f t="shared" si="1"/>
        <v/>
      </c>
      <c r="L79" s="55"/>
      <c r="M79" s="41" t="str">
        <f t="shared" si="2"/>
        <v/>
      </c>
      <c r="N79" s="41"/>
      <c r="O79" s="41"/>
      <c r="P79" s="50"/>
    </row>
    <row r="80">
      <c r="A80" s="41"/>
      <c r="B80" s="41"/>
      <c r="C80" s="41"/>
      <c r="D80" s="41"/>
      <c r="E80" s="41"/>
      <c r="F80" s="41"/>
      <c r="G80" s="49"/>
      <c r="H80" s="49" t="str">
        <f t="array" ref="H80">IF(INDEX(A:A,ROW())="","",SUMIF(Vendas!$B$5:$B$504,INDEX(A:A,ROW()),Vendas!$D$5:$D$504))</f>
        <v/>
      </c>
      <c r="I80" s="49" t="str">
        <f t="shared" si="3"/>
        <v/>
      </c>
      <c r="J80" s="54"/>
      <c r="K80" s="46" t="str">
        <f t="shared" si="1"/>
        <v/>
      </c>
      <c r="L80" s="55"/>
      <c r="M80" s="41" t="str">
        <f t="shared" si="2"/>
        <v/>
      </c>
      <c r="N80" s="41"/>
      <c r="O80" s="41"/>
      <c r="P80" s="50"/>
    </row>
    <row r="81">
      <c r="A81" s="41"/>
      <c r="B81" s="41"/>
      <c r="C81" s="41"/>
      <c r="D81" s="41"/>
      <c r="E81" s="41"/>
      <c r="F81" s="41"/>
      <c r="G81" s="49"/>
      <c r="H81" s="49" t="str">
        <f t="array" ref="H81">IF(INDEX(A:A,ROW())="","",SUMIF(Vendas!$B$5:$B$504,INDEX(A:A,ROW()),Vendas!$D$5:$D$504))</f>
        <v/>
      </c>
      <c r="I81" s="49" t="str">
        <f t="shared" si="3"/>
        <v/>
      </c>
      <c r="J81" s="54"/>
      <c r="K81" s="46" t="str">
        <f t="shared" si="1"/>
        <v/>
      </c>
      <c r="L81" s="55"/>
      <c r="M81" s="41" t="str">
        <f t="shared" si="2"/>
        <v/>
      </c>
      <c r="N81" s="41"/>
      <c r="O81" s="41"/>
      <c r="P81" s="50"/>
    </row>
    <row r="82">
      <c r="A82" s="41"/>
      <c r="B82" s="41"/>
      <c r="C82" s="41"/>
      <c r="D82" s="41"/>
      <c r="E82" s="41"/>
      <c r="F82" s="41"/>
      <c r="G82" s="49"/>
      <c r="H82" s="49" t="str">
        <f t="array" ref="H82">IF(INDEX(A:A,ROW())="","",SUMIF(Vendas!$B$5:$B$504,INDEX(A:A,ROW()),Vendas!$D$5:$D$504))</f>
        <v/>
      </c>
      <c r="I82" s="49" t="str">
        <f t="shared" si="3"/>
        <v/>
      </c>
      <c r="J82" s="54"/>
      <c r="K82" s="46" t="str">
        <f t="shared" si="1"/>
        <v/>
      </c>
      <c r="L82" s="55"/>
      <c r="M82" s="41" t="str">
        <f t="shared" si="2"/>
        <v/>
      </c>
      <c r="N82" s="41"/>
      <c r="O82" s="41"/>
      <c r="P82" s="50"/>
    </row>
    <row r="83">
      <c r="A83" s="41"/>
      <c r="B83" s="41"/>
      <c r="C83" s="41"/>
      <c r="D83" s="41"/>
      <c r="E83" s="41"/>
      <c r="F83" s="41"/>
      <c r="G83" s="49"/>
      <c r="H83" s="49" t="str">
        <f t="array" ref="H83">IF(INDEX(A:A,ROW())="","",SUMIF(Vendas!$B$5:$B$504,INDEX(A:A,ROW()),Vendas!$D$5:$D$504))</f>
        <v/>
      </c>
      <c r="I83" s="49" t="str">
        <f t="shared" si="3"/>
        <v/>
      </c>
      <c r="J83" s="54"/>
      <c r="K83" s="46" t="str">
        <f t="shared" si="1"/>
        <v/>
      </c>
      <c r="L83" s="55"/>
      <c r="M83" s="41" t="str">
        <f t="shared" si="2"/>
        <v/>
      </c>
      <c r="N83" s="41"/>
      <c r="O83" s="41"/>
      <c r="P83" s="50"/>
    </row>
    <row r="84">
      <c r="A84" s="41"/>
      <c r="B84" s="41"/>
      <c r="C84" s="41"/>
      <c r="D84" s="41"/>
      <c r="E84" s="41"/>
      <c r="F84" s="41"/>
      <c r="G84" s="49"/>
      <c r="H84" s="49" t="str">
        <f t="array" ref="H84">IF(INDEX(A:A,ROW())="","",SUMIF(Vendas!$B$5:$B$504,INDEX(A:A,ROW()),Vendas!$D$5:$D$504))</f>
        <v/>
      </c>
      <c r="I84" s="49" t="str">
        <f t="shared" si="3"/>
        <v/>
      </c>
      <c r="J84" s="54"/>
      <c r="K84" s="46" t="str">
        <f t="shared" si="1"/>
        <v/>
      </c>
      <c r="L84" s="55"/>
      <c r="M84" s="41" t="str">
        <f t="shared" si="2"/>
        <v/>
      </c>
      <c r="N84" s="41"/>
      <c r="O84" s="41"/>
      <c r="P84" s="50"/>
    </row>
    <row r="85">
      <c r="A85" s="41"/>
      <c r="B85" s="41"/>
      <c r="C85" s="41"/>
      <c r="D85" s="41"/>
      <c r="E85" s="41"/>
      <c r="F85" s="41"/>
      <c r="G85" s="49"/>
      <c r="H85" s="49" t="str">
        <f t="array" ref="H85">IF(INDEX(A:A,ROW())="","",SUMIF(Vendas!$B$5:$B$504,INDEX(A:A,ROW()),Vendas!$D$5:$D$504))</f>
        <v/>
      </c>
      <c r="I85" s="49" t="str">
        <f t="shared" si="3"/>
        <v/>
      </c>
      <c r="J85" s="54"/>
      <c r="K85" s="46" t="str">
        <f t="shared" si="1"/>
        <v/>
      </c>
      <c r="L85" s="55"/>
      <c r="M85" s="41" t="str">
        <f t="shared" si="2"/>
        <v/>
      </c>
      <c r="N85" s="41"/>
      <c r="O85" s="41"/>
      <c r="P85" s="50"/>
    </row>
    <row r="86">
      <c r="A86" s="41"/>
      <c r="B86" s="41"/>
      <c r="C86" s="41"/>
      <c r="D86" s="41"/>
      <c r="E86" s="41"/>
      <c r="F86" s="41"/>
      <c r="G86" s="49"/>
      <c r="H86" s="49" t="str">
        <f t="array" ref="H86">IF(INDEX(A:A,ROW())="","",SUMIF(Vendas!$B$5:$B$504,INDEX(A:A,ROW()),Vendas!$D$5:$D$504))</f>
        <v/>
      </c>
      <c r="I86" s="49" t="str">
        <f t="shared" si="3"/>
        <v/>
      </c>
      <c r="J86" s="54"/>
      <c r="K86" s="46" t="str">
        <f t="shared" si="1"/>
        <v/>
      </c>
      <c r="L86" s="55"/>
      <c r="M86" s="41" t="str">
        <f t="shared" si="2"/>
        <v/>
      </c>
      <c r="N86" s="41"/>
      <c r="O86" s="41"/>
      <c r="P86" s="50"/>
    </row>
    <row r="87">
      <c r="A87" s="41"/>
      <c r="B87" s="41"/>
      <c r="C87" s="41"/>
      <c r="D87" s="41"/>
      <c r="E87" s="41"/>
      <c r="F87" s="41"/>
      <c r="G87" s="49"/>
      <c r="H87" s="49" t="str">
        <f t="array" ref="H87">IF(INDEX(A:A,ROW())="","",SUMIF(Vendas!$B$5:$B$504,INDEX(A:A,ROW()),Vendas!$D$5:$D$504))</f>
        <v/>
      </c>
      <c r="I87" s="49" t="str">
        <f t="shared" si="3"/>
        <v/>
      </c>
      <c r="J87" s="54"/>
      <c r="K87" s="46" t="str">
        <f t="shared" si="1"/>
        <v/>
      </c>
      <c r="L87" s="55"/>
      <c r="M87" s="41" t="str">
        <f t="shared" si="2"/>
        <v/>
      </c>
      <c r="N87" s="41"/>
      <c r="O87" s="41"/>
      <c r="P87" s="50"/>
    </row>
    <row r="88">
      <c r="A88" s="41"/>
      <c r="B88" s="41"/>
      <c r="C88" s="41"/>
      <c r="D88" s="41"/>
      <c r="E88" s="41"/>
      <c r="F88" s="41"/>
      <c r="G88" s="49"/>
      <c r="H88" s="49" t="str">
        <f t="array" ref="H88">IF(INDEX(A:A,ROW())="","",SUMIF(Vendas!$B$5:$B$504,INDEX(A:A,ROW()),Vendas!$D$5:$D$504))</f>
        <v/>
      </c>
      <c r="I88" s="49" t="str">
        <f t="shared" si="3"/>
        <v/>
      </c>
      <c r="J88" s="54"/>
      <c r="K88" s="46" t="str">
        <f t="shared" si="1"/>
        <v/>
      </c>
      <c r="L88" s="55"/>
      <c r="M88" s="41" t="str">
        <f t="shared" si="2"/>
        <v/>
      </c>
      <c r="N88" s="41"/>
      <c r="O88" s="41"/>
      <c r="P88" s="50"/>
    </row>
    <row r="89">
      <c r="A89" s="41"/>
      <c r="B89" s="41"/>
      <c r="C89" s="41"/>
      <c r="D89" s="41"/>
      <c r="E89" s="41"/>
      <c r="F89" s="41"/>
      <c r="G89" s="49"/>
      <c r="H89" s="49" t="str">
        <f t="array" ref="H89">IF(INDEX(A:A,ROW())="","",SUMIF(Vendas!$B$5:$B$504,INDEX(A:A,ROW()),Vendas!$D$5:$D$504))</f>
        <v/>
      </c>
      <c r="I89" s="49" t="str">
        <f t="shared" si="3"/>
        <v/>
      </c>
      <c r="J89" s="54"/>
      <c r="K89" s="46" t="str">
        <f t="shared" si="1"/>
        <v/>
      </c>
      <c r="L89" s="55"/>
      <c r="M89" s="41" t="str">
        <f t="shared" si="2"/>
        <v/>
      </c>
      <c r="N89" s="41"/>
      <c r="O89" s="41"/>
      <c r="P89" s="50"/>
    </row>
    <row r="90">
      <c r="A90" s="41"/>
      <c r="B90" s="41"/>
      <c r="C90" s="41"/>
      <c r="D90" s="41"/>
      <c r="E90" s="41"/>
      <c r="F90" s="41"/>
      <c r="G90" s="49"/>
      <c r="H90" s="49" t="str">
        <f t="array" ref="H90">IF(INDEX(A:A,ROW())="","",SUMIF(Vendas!$B$5:$B$504,INDEX(A:A,ROW()),Vendas!$D$5:$D$504))</f>
        <v/>
      </c>
      <c r="I90" s="49" t="str">
        <f t="shared" si="3"/>
        <v/>
      </c>
      <c r="J90" s="54"/>
      <c r="K90" s="46" t="str">
        <f t="shared" si="1"/>
        <v/>
      </c>
      <c r="L90" s="55"/>
      <c r="M90" s="41" t="str">
        <f t="shared" si="2"/>
        <v/>
      </c>
      <c r="N90" s="41"/>
      <c r="O90" s="41"/>
      <c r="P90" s="50"/>
    </row>
    <row r="91">
      <c r="A91" s="41"/>
      <c r="B91" s="41"/>
      <c r="C91" s="41"/>
      <c r="D91" s="41"/>
      <c r="E91" s="41"/>
      <c r="F91" s="41"/>
      <c r="G91" s="49"/>
      <c r="H91" s="49" t="str">
        <f t="array" ref="H91">IF(INDEX(A:A,ROW())="","",SUMIF(Vendas!$B$5:$B$504,INDEX(A:A,ROW()),Vendas!$D$5:$D$504))</f>
        <v/>
      </c>
      <c r="I91" s="49" t="str">
        <f t="shared" si="3"/>
        <v/>
      </c>
      <c r="J91" s="54"/>
      <c r="K91" s="46" t="str">
        <f t="shared" si="1"/>
        <v/>
      </c>
      <c r="L91" s="55"/>
      <c r="M91" s="41" t="str">
        <f t="shared" si="2"/>
        <v/>
      </c>
      <c r="N91" s="41"/>
      <c r="O91" s="41"/>
      <c r="P91" s="50"/>
    </row>
    <row r="92">
      <c r="A92" s="41"/>
      <c r="B92" s="41"/>
      <c r="C92" s="41"/>
      <c r="D92" s="41"/>
      <c r="E92" s="41"/>
      <c r="F92" s="41"/>
      <c r="G92" s="49"/>
      <c r="H92" s="49" t="str">
        <f t="array" ref="H92">IF(INDEX(A:A,ROW())="","",SUMIF(Vendas!$B$5:$B$504,INDEX(A:A,ROW()),Vendas!$D$5:$D$504))</f>
        <v/>
      </c>
      <c r="I92" s="49" t="str">
        <f t="shared" si="3"/>
        <v/>
      </c>
      <c r="J92" s="54"/>
      <c r="K92" s="46" t="str">
        <f t="shared" si="1"/>
        <v/>
      </c>
      <c r="L92" s="55"/>
      <c r="M92" s="41" t="str">
        <f t="shared" si="2"/>
        <v/>
      </c>
      <c r="N92" s="41"/>
      <c r="O92" s="41"/>
      <c r="P92" s="50"/>
    </row>
    <row r="93">
      <c r="A93" s="41"/>
      <c r="B93" s="41"/>
      <c r="C93" s="41"/>
      <c r="D93" s="41"/>
      <c r="E93" s="41"/>
      <c r="F93" s="41"/>
      <c r="G93" s="49"/>
      <c r="H93" s="49" t="str">
        <f t="array" ref="H93">IF(INDEX(A:A,ROW())="","",SUMIF(Vendas!$B$5:$B$504,INDEX(A:A,ROW()),Vendas!$D$5:$D$504))</f>
        <v/>
      </c>
      <c r="I93" s="49" t="str">
        <f t="shared" si="3"/>
        <v/>
      </c>
      <c r="J93" s="54"/>
      <c r="K93" s="46" t="str">
        <f t="shared" si="1"/>
        <v/>
      </c>
      <c r="L93" s="55"/>
      <c r="M93" s="41" t="str">
        <f t="shared" si="2"/>
        <v/>
      </c>
      <c r="N93" s="41"/>
      <c r="O93" s="41"/>
      <c r="P93" s="50"/>
    </row>
    <row r="94">
      <c r="A94" s="41"/>
      <c r="B94" s="41"/>
      <c r="C94" s="41"/>
      <c r="D94" s="41"/>
      <c r="E94" s="41"/>
      <c r="F94" s="41"/>
      <c r="G94" s="49"/>
      <c r="H94" s="49" t="str">
        <f t="array" ref="H94">IF(INDEX(A:A,ROW())="","",SUMIF(Vendas!$B$5:$B$504,INDEX(A:A,ROW()),Vendas!$D$5:$D$504))</f>
        <v/>
      </c>
      <c r="I94" s="49" t="str">
        <f t="shared" si="3"/>
        <v/>
      </c>
      <c r="J94" s="54"/>
      <c r="K94" s="46" t="str">
        <f t="shared" si="1"/>
        <v/>
      </c>
      <c r="L94" s="55"/>
      <c r="M94" s="41" t="str">
        <f t="shared" si="2"/>
        <v/>
      </c>
      <c r="N94" s="41"/>
      <c r="O94" s="41"/>
      <c r="P94" s="50"/>
    </row>
    <row r="95">
      <c r="A95" s="41"/>
      <c r="B95" s="41"/>
      <c r="C95" s="41"/>
      <c r="D95" s="41"/>
      <c r="E95" s="41"/>
      <c r="F95" s="41"/>
      <c r="G95" s="49"/>
      <c r="H95" s="49" t="str">
        <f t="array" ref="H95">IF(INDEX(A:A,ROW())="","",SUMIF(Vendas!$B$5:$B$504,INDEX(A:A,ROW()),Vendas!$D$5:$D$504))</f>
        <v/>
      </c>
      <c r="I95" s="49" t="str">
        <f t="shared" si="3"/>
        <v/>
      </c>
      <c r="J95" s="54"/>
      <c r="K95" s="46" t="str">
        <f t="shared" si="1"/>
        <v/>
      </c>
      <c r="L95" s="55"/>
      <c r="M95" s="41" t="str">
        <f t="shared" si="2"/>
        <v/>
      </c>
      <c r="N95" s="41"/>
      <c r="O95" s="41"/>
      <c r="P95" s="50"/>
    </row>
    <row r="96">
      <c r="A96" s="41"/>
      <c r="B96" s="41"/>
      <c r="C96" s="41"/>
      <c r="D96" s="41"/>
      <c r="E96" s="41"/>
      <c r="F96" s="41"/>
      <c r="G96" s="49"/>
      <c r="H96" s="49" t="str">
        <f t="array" ref="H96">IF(INDEX(A:A,ROW())="","",SUMIF(Vendas!$B$5:$B$504,INDEX(A:A,ROW()),Vendas!$D$5:$D$504))</f>
        <v/>
      </c>
      <c r="I96" s="49" t="str">
        <f t="shared" si="3"/>
        <v/>
      </c>
      <c r="J96" s="54"/>
      <c r="K96" s="46" t="str">
        <f t="shared" si="1"/>
        <v/>
      </c>
      <c r="L96" s="55"/>
      <c r="M96" s="41" t="str">
        <f t="shared" si="2"/>
        <v/>
      </c>
      <c r="N96" s="41"/>
      <c r="O96" s="41"/>
      <c r="P96" s="50"/>
    </row>
    <row r="97">
      <c r="A97" s="41"/>
      <c r="B97" s="41"/>
      <c r="C97" s="41"/>
      <c r="D97" s="41"/>
      <c r="E97" s="41"/>
      <c r="F97" s="41"/>
      <c r="G97" s="49"/>
      <c r="H97" s="49" t="str">
        <f t="array" ref="H97">IF(INDEX(A:A,ROW())="","",SUMIF(Vendas!$B$5:$B$504,INDEX(A:A,ROW()),Vendas!$D$5:$D$504))</f>
        <v/>
      </c>
      <c r="I97" s="49" t="str">
        <f t="shared" si="3"/>
        <v/>
      </c>
      <c r="J97" s="54"/>
      <c r="K97" s="46" t="str">
        <f t="shared" si="1"/>
        <v/>
      </c>
      <c r="L97" s="55"/>
      <c r="M97" s="41" t="str">
        <f t="shared" si="2"/>
        <v/>
      </c>
      <c r="N97" s="41"/>
      <c r="O97" s="41"/>
      <c r="P97" s="50"/>
    </row>
    <row r="98">
      <c r="A98" s="41"/>
      <c r="B98" s="41"/>
      <c r="C98" s="41"/>
      <c r="D98" s="41"/>
      <c r="E98" s="41"/>
      <c r="F98" s="41"/>
      <c r="G98" s="49"/>
      <c r="H98" s="49" t="str">
        <f t="array" ref="H98">IF(INDEX(A:A,ROW())="","",SUMIF(Vendas!$B$5:$B$504,INDEX(A:A,ROW()),Vendas!$D$5:$D$504))</f>
        <v/>
      </c>
      <c r="I98" s="49" t="str">
        <f t="shared" si="3"/>
        <v/>
      </c>
      <c r="J98" s="54"/>
      <c r="K98" s="46" t="str">
        <f t="shared" si="1"/>
        <v/>
      </c>
      <c r="L98" s="55"/>
      <c r="M98" s="41" t="str">
        <f t="shared" si="2"/>
        <v/>
      </c>
      <c r="N98" s="41"/>
      <c r="O98" s="41"/>
      <c r="P98" s="50"/>
    </row>
    <row r="99">
      <c r="A99" s="41"/>
      <c r="B99" s="41"/>
      <c r="C99" s="41"/>
      <c r="D99" s="41"/>
      <c r="E99" s="41"/>
      <c r="F99" s="41"/>
      <c r="G99" s="49"/>
      <c r="H99" s="49" t="str">
        <f t="array" ref="H99">IF(INDEX(A:A,ROW())="","",SUMIF(Vendas!$B$5:$B$504,INDEX(A:A,ROW()),Vendas!$D$5:$D$504))</f>
        <v/>
      </c>
      <c r="I99" s="49" t="str">
        <f t="shared" si="3"/>
        <v/>
      </c>
      <c r="J99" s="54"/>
      <c r="K99" s="46" t="str">
        <f t="shared" si="1"/>
        <v/>
      </c>
      <c r="L99" s="55"/>
      <c r="M99" s="41" t="str">
        <f t="shared" si="2"/>
        <v/>
      </c>
      <c r="N99" s="41"/>
      <c r="O99" s="41"/>
      <c r="P99" s="50"/>
    </row>
    <row r="100">
      <c r="A100" s="41"/>
      <c r="B100" s="41"/>
      <c r="C100" s="41"/>
      <c r="D100" s="41"/>
      <c r="E100" s="41"/>
      <c r="F100" s="41"/>
      <c r="G100" s="49"/>
      <c r="H100" s="49" t="str">
        <f t="array" ref="H100">IF(INDEX(A:A,ROW())="","",SUMIF(Vendas!$B$5:$B$504,INDEX(A:A,ROW()),Vendas!$D$5:$D$504))</f>
        <v/>
      </c>
      <c r="I100" s="49" t="str">
        <f t="shared" si="3"/>
        <v/>
      </c>
      <c r="J100" s="54"/>
      <c r="K100" s="46" t="str">
        <f t="shared" si="1"/>
        <v/>
      </c>
      <c r="L100" s="55"/>
      <c r="M100" s="41" t="str">
        <f t="shared" si="2"/>
        <v/>
      </c>
      <c r="N100" s="41"/>
      <c r="O100" s="41"/>
      <c r="P100" s="50"/>
    </row>
    <row r="101">
      <c r="A101" s="41"/>
      <c r="B101" s="41"/>
      <c r="C101" s="41"/>
      <c r="D101" s="41"/>
      <c r="E101" s="41"/>
      <c r="F101" s="41"/>
      <c r="G101" s="49"/>
      <c r="H101" s="49" t="str">
        <f t="array" ref="H101">IF(INDEX(A:A,ROW())="","",SUMIF(Vendas!$B$5:$B$504,INDEX(A:A,ROW()),Vendas!$D$5:$D$504))</f>
        <v/>
      </c>
      <c r="I101" s="49" t="str">
        <f t="shared" si="3"/>
        <v/>
      </c>
      <c r="J101" s="54"/>
      <c r="K101" s="46" t="str">
        <f t="shared" si="1"/>
        <v/>
      </c>
      <c r="L101" s="55"/>
      <c r="M101" s="41" t="str">
        <f t="shared" si="2"/>
        <v/>
      </c>
      <c r="N101" s="41"/>
      <c r="O101" s="41"/>
      <c r="P101" s="50"/>
    </row>
    <row r="102">
      <c r="A102" s="41"/>
      <c r="B102" s="41"/>
      <c r="C102" s="41"/>
      <c r="D102" s="41"/>
      <c r="E102" s="41"/>
      <c r="F102" s="41"/>
      <c r="G102" s="49"/>
      <c r="H102" s="49" t="str">
        <f t="array" ref="H102">IF(INDEX(A:A,ROW())="","",SUMIF(Vendas!$B$5:$B$504,INDEX(A:A,ROW()),Vendas!$D$5:$D$504))</f>
        <v/>
      </c>
      <c r="I102" s="49" t="str">
        <f t="shared" si="3"/>
        <v/>
      </c>
      <c r="J102" s="54"/>
      <c r="K102" s="46" t="str">
        <f t="shared" si="1"/>
        <v/>
      </c>
      <c r="L102" s="55"/>
      <c r="M102" s="41" t="str">
        <f t="shared" si="2"/>
        <v/>
      </c>
      <c r="N102" s="41"/>
      <c r="O102" s="41"/>
      <c r="P102" s="50"/>
    </row>
    <row r="103">
      <c r="A103" s="41"/>
      <c r="B103" s="41"/>
      <c r="C103" s="41"/>
      <c r="D103" s="41"/>
      <c r="E103" s="41"/>
      <c r="F103" s="41"/>
      <c r="G103" s="49"/>
      <c r="H103" s="49" t="str">
        <f t="array" ref="H103">IF(INDEX(A:A,ROW())="","",SUMIF(Vendas!$B$5:$B$504,INDEX(A:A,ROW()),Vendas!$D$5:$D$504))</f>
        <v/>
      </c>
      <c r="I103" s="49" t="str">
        <f t="shared" si="3"/>
        <v/>
      </c>
      <c r="J103" s="54"/>
      <c r="K103" s="46" t="str">
        <f t="shared" si="1"/>
        <v/>
      </c>
      <c r="L103" s="55"/>
      <c r="M103" s="41" t="str">
        <f t="shared" si="2"/>
        <v/>
      </c>
      <c r="N103" s="41"/>
      <c r="O103" s="41"/>
      <c r="P103" s="50"/>
    </row>
    <row r="104">
      <c r="A104" s="41"/>
      <c r="B104" s="41"/>
      <c r="C104" s="41"/>
      <c r="D104" s="41"/>
      <c r="E104" s="41"/>
      <c r="F104" s="41"/>
      <c r="G104" s="49"/>
      <c r="H104" s="49" t="str">
        <f t="array" ref="H104">IF(INDEX(A:A,ROW())="","",SUMIF(Vendas!$B$5:$B$504,INDEX(A:A,ROW()),Vendas!$D$5:$D$504))</f>
        <v/>
      </c>
      <c r="I104" s="49" t="str">
        <f t="shared" si="3"/>
        <v/>
      </c>
      <c r="J104" s="54"/>
      <c r="K104" s="46" t="str">
        <f t="shared" si="1"/>
        <v/>
      </c>
      <c r="L104" s="55"/>
      <c r="M104" s="41" t="str">
        <f t="shared" si="2"/>
        <v/>
      </c>
      <c r="N104" s="41"/>
      <c r="O104" s="41"/>
      <c r="P104" s="50"/>
    </row>
    <row r="105">
      <c r="A105" s="41"/>
      <c r="B105" s="41"/>
      <c r="C105" s="41"/>
      <c r="D105" s="41"/>
      <c r="E105" s="41"/>
      <c r="F105" s="41"/>
      <c r="G105" s="49"/>
      <c r="H105" s="49" t="str">
        <f t="array" ref="H105">IF(INDEX(A:A,ROW())="","",SUMIF(Vendas!$B$5:$B$504,INDEX(A:A,ROW()),Vendas!$D$5:$D$504))</f>
        <v/>
      </c>
      <c r="I105" s="49" t="str">
        <f t="shared" si="3"/>
        <v/>
      </c>
      <c r="J105" s="54"/>
      <c r="K105" s="46" t="str">
        <f t="shared" si="1"/>
        <v/>
      </c>
      <c r="L105" s="55"/>
      <c r="M105" s="41" t="str">
        <f t="shared" si="2"/>
        <v/>
      </c>
      <c r="N105" s="41"/>
      <c r="O105" s="41"/>
      <c r="P105" s="50"/>
    </row>
    <row r="106">
      <c r="A106" s="41"/>
      <c r="B106" s="41"/>
      <c r="C106" s="41"/>
      <c r="D106" s="41"/>
      <c r="E106" s="41"/>
      <c r="F106" s="41"/>
      <c r="G106" s="49"/>
      <c r="H106" s="49" t="str">
        <f t="array" ref="H106">IF(INDEX(A:A,ROW())="","",SUMIF(Vendas!$B$5:$B$504,INDEX(A:A,ROW()),Vendas!$D$5:$D$504))</f>
        <v/>
      </c>
      <c r="I106" s="49" t="str">
        <f t="shared" si="3"/>
        <v/>
      </c>
      <c r="J106" s="54"/>
      <c r="K106" s="46" t="str">
        <f t="shared" si="1"/>
        <v/>
      </c>
      <c r="L106" s="55"/>
      <c r="M106" s="41" t="str">
        <f t="shared" si="2"/>
        <v/>
      </c>
      <c r="N106" s="41"/>
      <c r="O106" s="41"/>
      <c r="P106" s="50"/>
    </row>
    <row r="107">
      <c r="A107" s="56"/>
      <c r="B107" s="56"/>
      <c r="C107" s="56"/>
      <c r="D107" s="56"/>
      <c r="E107" s="56"/>
      <c r="F107" s="56"/>
      <c r="G107" s="57"/>
      <c r="H107" s="57" t="str">
        <f t="array" ref="H107">IF(INDEX(A:A,ROW())="","",SUMIF(Vendas!$B$5:$B$504,INDEX(A:A,ROW()),Vendas!$D$5:$D$504))</f>
        <v/>
      </c>
      <c r="I107" s="57" t="str">
        <f t="shared" si="3"/>
        <v/>
      </c>
      <c r="J107" s="58"/>
      <c r="K107" s="59" t="str">
        <f t="shared" si="1"/>
        <v/>
      </c>
      <c r="L107" s="60"/>
      <c r="M107" s="56" t="str">
        <f t="shared" si="2"/>
        <v/>
      </c>
      <c r="N107" s="56"/>
      <c r="O107" s="56"/>
      <c r="P107" s="61"/>
    </row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18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1.38"/>
    <col customWidth="1" min="3" max="3" width="23.88"/>
    <col customWidth="1" min="4" max="6" width="12.0"/>
    <col customWidth="1" min="7" max="7" width="20.13"/>
    <col customWidth="1" min="8" max="9" width="13.88"/>
    <col customWidth="1" min="10" max="10" width="27.63"/>
  </cols>
  <sheetData>
    <row r="1">
      <c r="A1" s="1" t="s">
        <v>1</v>
      </c>
      <c r="B1" s="5"/>
      <c r="C1" s="5"/>
      <c r="D1" s="5"/>
      <c r="E1" s="5"/>
      <c r="F1" s="5"/>
      <c r="G1" s="5"/>
      <c r="H1" s="5"/>
      <c r="I1" s="5"/>
      <c r="J1" s="5"/>
    </row>
    <row r="2">
      <c r="A2" s="8" t="s">
        <v>4</v>
      </c>
      <c r="B2" s="15">
        <f>SUM(F5:F504)</f>
        <v>0</v>
      </c>
      <c r="C2" s="17"/>
      <c r="D2" s="8" t="s">
        <v>9</v>
      </c>
      <c r="E2" s="17">
        <f>COUNT(A5:A504)</f>
        <v>0</v>
      </c>
      <c r="F2" s="17"/>
      <c r="G2" s="8" t="s">
        <v>12</v>
      </c>
      <c r="H2" s="17">
        <f>SUM(D5:D504)</f>
        <v>0</v>
      </c>
    </row>
    <row r="3">
      <c r="A3" s="7" t="s">
        <v>14</v>
      </c>
    </row>
    <row r="4">
      <c r="A4" s="25" t="s">
        <v>15</v>
      </c>
      <c r="B4" s="26" t="s">
        <v>16</v>
      </c>
      <c r="C4" s="26" t="s">
        <v>17</v>
      </c>
      <c r="D4" s="26" t="s">
        <v>18</v>
      </c>
      <c r="E4" s="26" t="s">
        <v>19</v>
      </c>
      <c r="F4" s="26" t="s">
        <v>20</v>
      </c>
      <c r="G4" s="26" t="s">
        <v>21</v>
      </c>
      <c r="H4" s="26" t="s">
        <v>22</v>
      </c>
      <c r="I4" s="26" t="s">
        <v>23</v>
      </c>
      <c r="J4" s="30" t="s">
        <v>24</v>
      </c>
    </row>
    <row r="5">
      <c r="A5" s="31"/>
      <c r="B5" s="32"/>
      <c r="C5" s="35" t="str">
        <f t="array" ref="C5">IF(INDEX(B:B,ROW())="","",VLOOKUP(INDEX(B:B,ROW()),'Produtos Bazar'!$A$8:$K$107,2,FALSE))</f>
        <v/>
      </c>
      <c r="D5" s="37"/>
      <c r="E5" s="43" t="str">
        <f t="array" ref="E5">IF(INDEX(B:B,ROW())="","",VLOOKUP(INDEX(B:B,ROW()),'Produtos Bazar'!$A$8:$K$107,11,FALSE))</f>
        <v/>
      </c>
      <c r="F5" s="43" t="str">
        <f t="shared" ref="F5:F504" si="1">IF(OR(INDEX(D:D,ROW())="",INDEX(E:E,ROW())=""),"",INDEX(D:D,ROW())*INDEX(E:E,ROW()))</f>
        <v/>
      </c>
      <c r="G5" s="32"/>
      <c r="H5" s="32"/>
      <c r="I5" s="32"/>
      <c r="J5" s="32"/>
    </row>
    <row r="6">
      <c r="A6" s="31"/>
      <c r="B6" s="32"/>
      <c r="C6" s="35" t="str">
        <f t="array" ref="C6">IF(INDEX(B:B,ROW())="","",VLOOKUP(INDEX(B:B,ROW()),'Produtos Bazar'!$A$8:$K$107,2,FALSE))</f>
        <v/>
      </c>
      <c r="D6" s="37"/>
      <c r="E6" s="43" t="str">
        <f t="array" ref="E6">IF(INDEX(B:B,ROW())="","",VLOOKUP(INDEX(B:B,ROW()),'Produtos Bazar'!$A$8:$K$107,11,FALSE))</f>
        <v/>
      </c>
      <c r="F6" s="43" t="str">
        <f t="shared" si="1"/>
        <v/>
      </c>
      <c r="G6" s="32"/>
      <c r="H6" s="32"/>
      <c r="I6" s="32"/>
      <c r="J6" s="32"/>
    </row>
    <row r="7">
      <c r="A7" s="31"/>
      <c r="B7" s="32"/>
      <c r="C7" s="35" t="str">
        <f t="array" ref="C7">IF(INDEX(B:B,ROW())="","",VLOOKUP(INDEX(B:B,ROW()),'Produtos Bazar'!$A$8:$K$107,2,FALSE))</f>
        <v/>
      </c>
      <c r="D7" s="37"/>
      <c r="E7" s="43" t="str">
        <f t="array" ref="E7">IF(INDEX(B:B,ROW())="","",VLOOKUP(INDEX(B:B,ROW()),'Produtos Bazar'!$A$8:$K$107,11,FALSE))</f>
        <v/>
      </c>
      <c r="F7" s="43" t="str">
        <f t="shared" si="1"/>
        <v/>
      </c>
      <c r="G7" s="32"/>
      <c r="H7" s="32"/>
      <c r="I7" s="32"/>
      <c r="J7" s="32"/>
    </row>
    <row r="8">
      <c r="A8" s="31"/>
      <c r="B8" s="32"/>
      <c r="C8" s="35" t="str">
        <f t="array" ref="C8">IF(INDEX(B:B,ROW())="","",VLOOKUP(INDEX(B:B,ROW()),'Produtos Bazar'!$A$8:$K$107,2,FALSE))</f>
        <v/>
      </c>
      <c r="D8" s="37"/>
      <c r="E8" s="43" t="str">
        <f t="array" ref="E8">IF(INDEX(B:B,ROW())="","",VLOOKUP(INDEX(B:B,ROW()),'Produtos Bazar'!$A$8:$K$107,11,FALSE))</f>
        <v/>
      </c>
      <c r="F8" s="43" t="str">
        <f t="shared" si="1"/>
        <v/>
      </c>
      <c r="G8" s="32"/>
      <c r="H8" s="32"/>
      <c r="I8" s="32"/>
      <c r="J8" s="32"/>
    </row>
    <row r="9">
      <c r="A9" s="31"/>
      <c r="B9" s="32"/>
      <c r="C9" s="35" t="str">
        <f t="array" ref="C9">IF(INDEX(B:B,ROW())="","",VLOOKUP(INDEX(B:B,ROW()),'Produtos Bazar'!$A$8:$K$107,2,FALSE))</f>
        <v/>
      </c>
      <c r="D9" s="37"/>
      <c r="E9" s="43" t="str">
        <f t="array" ref="E9">IF(INDEX(B:B,ROW())="","",VLOOKUP(INDEX(B:B,ROW()),'Produtos Bazar'!$A$8:$K$107,11,FALSE))</f>
        <v/>
      </c>
      <c r="F9" s="43" t="str">
        <f t="shared" si="1"/>
        <v/>
      </c>
      <c r="G9" s="32"/>
      <c r="H9" s="32"/>
      <c r="I9" s="32"/>
      <c r="J9" s="32"/>
    </row>
    <row r="10">
      <c r="A10" s="31"/>
      <c r="B10" s="32"/>
      <c r="C10" s="35" t="str">
        <f t="array" ref="C10">IF(INDEX(B:B,ROW())="","",VLOOKUP(INDEX(B:B,ROW()),'Produtos Bazar'!$A$8:$K$107,2,FALSE))</f>
        <v/>
      </c>
      <c r="D10" s="37"/>
      <c r="E10" s="43" t="str">
        <f t="array" ref="E10">IF(INDEX(B:B,ROW())="","",VLOOKUP(INDEX(B:B,ROW()),'Produtos Bazar'!$A$8:$K$107,11,FALSE))</f>
        <v/>
      </c>
      <c r="F10" s="43" t="str">
        <f t="shared" si="1"/>
        <v/>
      </c>
      <c r="G10" s="32"/>
      <c r="H10" s="32"/>
      <c r="I10" s="32"/>
      <c r="J10" s="32"/>
    </row>
    <row r="11">
      <c r="A11" s="31"/>
      <c r="B11" s="32"/>
      <c r="C11" s="35" t="str">
        <f t="array" ref="C11">IF(INDEX(B:B,ROW())="","",VLOOKUP(INDEX(B:B,ROW()),'Produtos Bazar'!$A$8:$K$107,2,FALSE))</f>
        <v/>
      </c>
      <c r="D11" s="37"/>
      <c r="E11" s="43" t="str">
        <f t="array" ref="E11">IF(INDEX(B:B,ROW())="","",VLOOKUP(INDEX(B:B,ROW()),'Produtos Bazar'!$A$8:$K$107,11,FALSE))</f>
        <v/>
      </c>
      <c r="F11" s="43" t="str">
        <f t="shared" si="1"/>
        <v/>
      </c>
      <c r="G11" s="32"/>
      <c r="H11" s="32"/>
      <c r="I11" s="32"/>
      <c r="J11" s="32"/>
    </row>
    <row r="12">
      <c r="A12" s="31"/>
      <c r="B12" s="32"/>
      <c r="C12" s="35" t="str">
        <f t="array" ref="C12">IF(INDEX(B:B,ROW())="","",VLOOKUP(INDEX(B:B,ROW()),'Produtos Bazar'!$A$8:$K$107,2,FALSE))</f>
        <v/>
      </c>
      <c r="D12" s="37"/>
      <c r="E12" s="43" t="str">
        <f t="array" ref="E12">IF(INDEX(B:B,ROW())="","",VLOOKUP(INDEX(B:B,ROW()),'Produtos Bazar'!$A$8:$K$107,11,FALSE))</f>
        <v/>
      </c>
      <c r="F12" s="43" t="str">
        <f t="shared" si="1"/>
        <v/>
      </c>
      <c r="G12" s="32"/>
      <c r="H12" s="32"/>
      <c r="I12" s="32"/>
      <c r="J12" s="32"/>
    </row>
    <row r="13">
      <c r="A13" s="31"/>
      <c r="B13" s="32"/>
      <c r="C13" s="35" t="str">
        <f t="array" ref="C13">IF(INDEX(B:B,ROW())="","",VLOOKUP(INDEX(B:B,ROW()),'Produtos Bazar'!$A$8:$K$107,2,FALSE))</f>
        <v/>
      </c>
      <c r="D13" s="37"/>
      <c r="E13" s="43" t="str">
        <f t="array" ref="E13">IF(INDEX(B:B,ROW())="","",VLOOKUP(INDEX(B:B,ROW()),'Produtos Bazar'!$A$8:$K$107,11,FALSE))</f>
        <v/>
      </c>
      <c r="F13" s="43" t="str">
        <f t="shared" si="1"/>
        <v/>
      </c>
      <c r="G13" s="32"/>
      <c r="H13" s="32"/>
      <c r="I13" s="32"/>
      <c r="J13" s="32"/>
    </row>
    <row r="14">
      <c r="A14" s="31"/>
      <c r="B14" s="32"/>
      <c r="C14" s="35" t="str">
        <f t="array" ref="C14">IF(INDEX(B:B,ROW())="","",VLOOKUP(INDEX(B:B,ROW()),'Produtos Bazar'!$A$8:$K$107,2,FALSE))</f>
        <v/>
      </c>
      <c r="D14" s="37"/>
      <c r="E14" s="43" t="str">
        <f t="array" ref="E14">IF(INDEX(B:B,ROW())="","",VLOOKUP(INDEX(B:B,ROW()),'Produtos Bazar'!$A$8:$K$107,11,FALSE))</f>
        <v/>
      </c>
      <c r="F14" s="43" t="str">
        <f t="shared" si="1"/>
        <v/>
      </c>
      <c r="G14" s="32"/>
      <c r="H14" s="32"/>
      <c r="I14" s="32"/>
      <c r="J14" s="32"/>
    </row>
    <row r="15">
      <c r="A15" s="31"/>
      <c r="B15" s="32"/>
      <c r="C15" s="35" t="str">
        <f t="array" ref="C15">IF(INDEX(B:B,ROW())="","",VLOOKUP(INDEX(B:B,ROW()),'Produtos Bazar'!$A$8:$K$107,2,FALSE))</f>
        <v/>
      </c>
      <c r="D15" s="37"/>
      <c r="E15" s="43" t="str">
        <f t="array" ref="E15">IF(INDEX(B:B,ROW())="","",VLOOKUP(INDEX(B:B,ROW()),'Produtos Bazar'!$A$8:$K$107,11,FALSE))</f>
        <v/>
      </c>
      <c r="F15" s="43" t="str">
        <f t="shared" si="1"/>
        <v/>
      </c>
      <c r="G15" s="32"/>
      <c r="H15" s="32"/>
      <c r="I15" s="32"/>
      <c r="J15" s="32"/>
    </row>
    <row r="16">
      <c r="A16" s="31"/>
      <c r="B16" s="32"/>
      <c r="C16" s="35" t="str">
        <f t="array" ref="C16">IF(INDEX(B:B,ROW())="","",VLOOKUP(INDEX(B:B,ROW()),'Produtos Bazar'!$A$8:$K$107,2,FALSE))</f>
        <v/>
      </c>
      <c r="D16" s="37"/>
      <c r="E16" s="43" t="str">
        <f t="array" ref="E16">IF(INDEX(B:B,ROW())="","",VLOOKUP(INDEX(B:B,ROW()),'Produtos Bazar'!$A$8:$K$107,11,FALSE))</f>
        <v/>
      </c>
      <c r="F16" s="43" t="str">
        <f t="shared" si="1"/>
        <v/>
      </c>
      <c r="G16" s="32"/>
      <c r="H16" s="32"/>
      <c r="I16" s="32"/>
      <c r="J16" s="32"/>
    </row>
    <row r="17">
      <c r="A17" s="31"/>
      <c r="B17" s="32"/>
      <c r="C17" s="35" t="str">
        <f t="array" ref="C17">IF(INDEX(B:B,ROW())="","",VLOOKUP(INDEX(B:B,ROW()),'Produtos Bazar'!$A$8:$K$107,2,FALSE))</f>
        <v/>
      </c>
      <c r="D17" s="37"/>
      <c r="E17" s="43" t="str">
        <f t="array" ref="E17">IF(INDEX(B:B,ROW())="","",VLOOKUP(INDEX(B:B,ROW()),'Produtos Bazar'!$A$8:$K$107,11,FALSE))</f>
        <v/>
      </c>
      <c r="F17" s="43" t="str">
        <f t="shared" si="1"/>
        <v/>
      </c>
      <c r="G17" s="32"/>
      <c r="H17" s="32"/>
      <c r="I17" s="32"/>
      <c r="J17" s="32"/>
    </row>
    <row r="18">
      <c r="A18" s="31"/>
      <c r="B18" s="32"/>
      <c r="C18" s="35" t="str">
        <f t="array" ref="C18">IF(INDEX(B:B,ROW())="","",VLOOKUP(INDEX(B:B,ROW()),'Produtos Bazar'!$A$8:$K$107,2,FALSE))</f>
        <v/>
      </c>
      <c r="D18" s="37"/>
      <c r="E18" s="43" t="str">
        <f t="array" ref="E18">IF(INDEX(B:B,ROW())="","",VLOOKUP(INDEX(B:B,ROW()),'Produtos Bazar'!$A$8:$K$107,11,FALSE))</f>
        <v/>
      </c>
      <c r="F18" s="43" t="str">
        <f t="shared" si="1"/>
        <v/>
      </c>
      <c r="G18" s="32"/>
      <c r="H18" s="32"/>
      <c r="I18" s="32"/>
      <c r="J18" s="32"/>
    </row>
    <row r="19">
      <c r="A19" s="31"/>
      <c r="B19" s="32"/>
      <c r="C19" s="35" t="str">
        <f t="array" ref="C19">IF(INDEX(B:B,ROW())="","",VLOOKUP(INDEX(B:B,ROW()),'Produtos Bazar'!$A$8:$K$107,2,FALSE))</f>
        <v/>
      </c>
      <c r="D19" s="37"/>
      <c r="E19" s="43" t="str">
        <f t="array" ref="E19">IF(INDEX(B:B,ROW())="","",VLOOKUP(INDEX(B:B,ROW()),'Produtos Bazar'!$A$8:$K$107,11,FALSE))</f>
        <v/>
      </c>
      <c r="F19" s="43" t="str">
        <f t="shared" si="1"/>
        <v/>
      </c>
      <c r="G19" s="32"/>
      <c r="H19" s="32"/>
      <c r="I19" s="32"/>
      <c r="J19" s="32"/>
    </row>
    <row r="20">
      <c r="A20" s="31"/>
      <c r="B20" s="32"/>
      <c r="C20" s="35" t="str">
        <f t="array" ref="C20">IF(INDEX(B:B,ROW())="","",VLOOKUP(INDEX(B:B,ROW()),'Produtos Bazar'!$A$8:$K$107,2,FALSE))</f>
        <v/>
      </c>
      <c r="D20" s="37"/>
      <c r="E20" s="43" t="str">
        <f t="array" ref="E20">IF(INDEX(B:B,ROW())="","",VLOOKUP(INDEX(B:B,ROW()),'Produtos Bazar'!$A$8:$K$107,11,FALSE))</f>
        <v/>
      </c>
      <c r="F20" s="43" t="str">
        <f t="shared" si="1"/>
        <v/>
      </c>
      <c r="G20" s="32"/>
      <c r="H20" s="32"/>
      <c r="I20" s="32"/>
      <c r="J20" s="32"/>
    </row>
    <row r="21">
      <c r="A21" s="31"/>
      <c r="B21" s="32"/>
      <c r="C21" s="35" t="str">
        <f t="array" ref="C21">IF(INDEX(B:B,ROW())="","",VLOOKUP(INDEX(B:B,ROW()),'Produtos Bazar'!$A$8:$K$107,2,FALSE))</f>
        <v/>
      </c>
      <c r="D21" s="37"/>
      <c r="E21" s="43" t="str">
        <f t="array" ref="E21">IF(INDEX(B:B,ROW())="","",VLOOKUP(INDEX(B:B,ROW()),'Produtos Bazar'!$A$8:$K$107,11,FALSE))</f>
        <v/>
      </c>
      <c r="F21" s="43" t="str">
        <f t="shared" si="1"/>
        <v/>
      </c>
      <c r="G21" s="32"/>
      <c r="H21" s="32"/>
      <c r="I21" s="32"/>
      <c r="J21" s="32"/>
    </row>
    <row r="22">
      <c r="A22" s="31"/>
      <c r="B22" s="32"/>
      <c r="C22" s="35" t="str">
        <f t="array" ref="C22">IF(INDEX(B:B,ROW())="","",VLOOKUP(INDEX(B:B,ROW()),'Produtos Bazar'!$A$8:$K$107,2,FALSE))</f>
        <v/>
      </c>
      <c r="D22" s="37"/>
      <c r="E22" s="43" t="str">
        <f t="array" ref="E22">IF(INDEX(B:B,ROW())="","",VLOOKUP(INDEX(B:B,ROW()),'Produtos Bazar'!$A$8:$K$107,11,FALSE))</f>
        <v/>
      </c>
      <c r="F22" s="43" t="str">
        <f t="shared" si="1"/>
        <v/>
      </c>
      <c r="G22" s="32"/>
      <c r="H22" s="32"/>
      <c r="I22" s="32"/>
      <c r="J22" s="32"/>
    </row>
    <row r="23">
      <c r="A23" s="31"/>
      <c r="B23" s="32"/>
      <c r="C23" s="35" t="str">
        <f t="array" ref="C23">IF(INDEX(B:B,ROW())="","",VLOOKUP(INDEX(B:B,ROW()),'Produtos Bazar'!$A$8:$K$107,2,FALSE))</f>
        <v/>
      </c>
      <c r="D23" s="37"/>
      <c r="E23" s="43" t="str">
        <f t="array" ref="E23">IF(INDEX(B:B,ROW())="","",VLOOKUP(INDEX(B:B,ROW()),'Produtos Bazar'!$A$8:$K$107,11,FALSE))</f>
        <v/>
      </c>
      <c r="F23" s="43" t="str">
        <f t="shared" si="1"/>
        <v/>
      </c>
      <c r="G23" s="32"/>
      <c r="H23" s="32"/>
      <c r="I23" s="32"/>
      <c r="J23" s="32"/>
    </row>
    <row r="24">
      <c r="A24" s="31"/>
      <c r="B24" s="32"/>
      <c r="C24" s="35" t="str">
        <f t="array" ref="C24">IF(INDEX(B:B,ROW())="","",VLOOKUP(INDEX(B:B,ROW()),'Produtos Bazar'!$A$8:$K$107,2,FALSE))</f>
        <v/>
      </c>
      <c r="D24" s="37"/>
      <c r="E24" s="43" t="str">
        <f t="array" ref="E24">IF(INDEX(B:B,ROW())="","",VLOOKUP(INDEX(B:B,ROW()),'Produtos Bazar'!$A$8:$K$107,11,FALSE))</f>
        <v/>
      </c>
      <c r="F24" s="43" t="str">
        <f t="shared" si="1"/>
        <v/>
      </c>
      <c r="G24" s="32"/>
      <c r="H24" s="32"/>
      <c r="I24" s="32"/>
      <c r="J24" s="32"/>
    </row>
    <row r="25">
      <c r="A25" s="31"/>
      <c r="B25" s="32"/>
      <c r="C25" s="35" t="str">
        <f t="array" ref="C25">IF(INDEX(B:B,ROW())="","",VLOOKUP(INDEX(B:B,ROW()),'Produtos Bazar'!$A$8:$K$107,2,FALSE))</f>
        <v/>
      </c>
      <c r="D25" s="37"/>
      <c r="E25" s="43" t="str">
        <f t="array" ref="E25">IF(INDEX(B:B,ROW())="","",VLOOKUP(INDEX(B:B,ROW()),'Produtos Bazar'!$A$8:$K$107,11,FALSE))</f>
        <v/>
      </c>
      <c r="F25" s="43" t="str">
        <f t="shared" si="1"/>
        <v/>
      </c>
      <c r="G25" s="32"/>
      <c r="H25" s="32"/>
      <c r="I25" s="32"/>
      <c r="J25" s="32"/>
    </row>
    <row r="26">
      <c r="A26" s="31"/>
      <c r="B26" s="32"/>
      <c r="C26" s="35" t="str">
        <f t="array" ref="C26">IF(INDEX(B:B,ROW())="","",VLOOKUP(INDEX(B:B,ROW()),'Produtos Bazar'!$A$8:$K$107,2,FALSE))</f>
        <v/>
      </c>
      <c r="D26" s="37"/>
      <c r="E26" s="43" t="str">
        <f t="array" ref="E26">IF(INDEX(B:B,ROW())="","",VLOOKUP(INDEX(B:B,ROW()),'Produtos Bazar'!$A$8:$K$107,11,FALSE))</f>
        <v/>
      </c>
      <c r="F26" s="43" t="str">
        <f t="shared" si="1"/>
        <v/>
      </c>
      <c r="G26" s="32"/>
      <c r="H26" s="32"/>
      <c r="I26" s="32"/>
      <c r="J26" s="32"/>
    </row>
    <row r="27">
      <c r="A27" s="31"/>
      <c r="B27" s="32"/>
      <c r="C27" s="35" t="str">
        <f t="array" ref="C27">IF(INDEX(B:B,ROW())="","",VLOOKUP(INDEX(B:B,ROW()),'Produtos Bazar'!$A$8:$K$107,2,FALSE))</f>
        <v/>
      </c>
      <c r="D27" s="37"/>
      <c r="E27" s="43" t="str">
        <f t="array" ref="E27">IF(INDEX(B:B,ROW())="","",VLOOKUP(INDEX(B:B,ROW()),'Produtos Bazar'!$A$8:$K$107,11,FALSE))</f>
        <v/>
      </c>
      <c r="F27" s="43" t="str">
        <f t="shared" si="1"/>
        <v/>
      </c>
      <c r="G27" s="32"/>
      <c r="H27" s="32"/>
      <c r="I27" s="32"/>
      <c r="J27" s="32"/>
    </row>
    <row r="28">
      <c r="A28" s="31"/>
      <c r="B28" s="32"/>
      <c r="C28" s="35" t="str">
        <f t="array" ref="C28">IF(INDEX(B:B,ROW())="","",VLOOKUP(INDEX(B:B,ROW()),'Produtos Bazar'!$A$8:$K$107,2,FALSE))</f>
        <v/>
      </c>
      <c r="D28" s="37"/>
      <c r="E28" s="43" t="str">
        <f t="array" ref="E28">IF(INDEX(B:B,ROW())="","",VLOOKUP(INDEX(B:B,ROW()),'Produtos Bazar'!$A$8:$K$107,11,FALSE))</f>
        <v/>
      </c>
      <c r="F28" s="43" t="str">
        <f t="shared" si="1"/>
        <v/>
      </c>
      <c r="G28" s="32"/>
      <c r="H28" s="32"/>
      <c r="I28" s="32"/>
      <c r="J28" s="32"/>
    </row>
    <row r="29">
      <c r="A29" s="31"/>
      <c r="B29" s="32"/>
      <c r="C29" s="35" t="str">
        <f t="array" ref="C29">IF(INDEX(B:B,ROW())="","",VLOOKUP(INDEX(B:B,ROW()),'Produtos Bazar'!$A$8:$K$107,2,FALSE))</f>
        <v/>
      </c>
      <c r="D29" s="37"/>
      <c r="E29" s="43" t="str">
        <f t="array" ref="E29">IF(INDEX(B:B,ROW())="","",VLOOKUP(INDEX(B:B,ROW()),'Produtos Bazar'!$A$8:$K$107,11,FALSE))</f>
        <v/>
      </c>
      <c r="F29" s="43" t="str">
        <f t="shared" si="1"/>
        <v/>
      </c>
      <c r="G29" s="32"/>
      <c r="H29" s="32"/>
      <c r="I29" s="32"/>
      <c r="J29" s="32"/>
    </row>
    <row r="30">
      <c r="A30" s="31"/>
      <c r="B30" s="32"/>
      <c r="C30" s="35" t="str">
        <f t="array" ref="C30">IF(INDEX(B:B,ROW())="","",VLOOKUP(INDEX(B:B,ROW()),'Produtos Bazar'!$A$8:$K$107,2,FALSE))</f>
        <v/>
      </c>
      <c r="D30" s="37"/>
      <c r="E30" s="43" t="str">
        <f t="array" ref="E30">IF(INDEX(B:B,ROW())="","",VLOOKUP(INDEX(B:B,ROW()),'Produtos Bazar'!$A$8:$K$107,11,FALSE))</f>
        <v/>
      </c>
      <c r="F30" s="43" t="str">
        <f t="shared" si="1"/>
        <v/>
      </c>
      <c r="G30" s="32"/>
      <c r="H30" s="32"/>
      <c r="I30" s="32"/>
      <c r="J30" s="32"/>
    </row>
    <row r="31">
      <c r="A31" s="31"/>
      <c r="B31" s="32"/>
      <c r="C31" s="35" t="str">
        <f t="array" ref="C31">IF(INDEX(B:B,ROW())="","",VLOOKUP(INDEX(B:B,ROW()),'Produtos Bazar'!$A$8:$K$107,2,FALSE))</f>
        <v/>
      </c>
      <c r="D31" s="37"/>
      <c r="E31" s="43" t="str">
        <f t="array" ref="E31">IF(INDEX(B:B,ROW())="","",VLOOKUP(INDEX(B:B,ROW()),'Produtos Bazar'!$A$8:$K$107,11,FALSE))</f>
        <v/>
      </c>
      <c r="F31" s="43" t="str">
        <f t="shared" si="1"/>
        <v/>
      </c>
      <c r="G31" s="32"/>
      <c r="H31" s="32"/>
      <c r="I31" s="32"/>
      <c r="J31" s="32"/>
    </row>
    <row r="32">
      <c r="A32" s="31"/>
      <c r="B32" s="32"/>
      <c r="C32" s="35" t="str">
        <f t="array" ref="C32">IF(INDEX(B:B,ROW())="","",VLOOKUP(INDEX(B:B,ROW()),'Produtos Bazar'!$A$8:$K$107,2,FALSE))</f>
        <v/>
      </c>
      <c r="D32" s="37"/>
      <c r="E32" s="43" t="str">
        <f t="array" ref="E32">IF(INDEX(B:B,ROW())="","",VLOOKUP(INDEX(B:B,ROW()),'Produtos Bazar'!$A$8:$K$107,11,FALSE))</f>
        <v/>
      </c>
      <c r="F32" s="43" t="str">
        <f t="shared" si="1"/>
        <v/>
      </c>
      <c r="G32" s="32"/>
      <c r="H32" s="32"/>
      <c r="I32" s="32"/>
      <c r="J32" s="32"/>
    </row>
    <row r="33">
      <c r="A33" s="31"/>
      <c r="B33" s="32"/>
      <c r="C33" s="35" t="str">
        <f t="array" ref="C33">IF(INDEX(B:B,ROW())="","",VLOOKUP(INDEX(B:B,ROW()),'Produtos Bazar'!$A$8:$K$107,2,FALSE))</f>
        <v/>
      </c>
      <c r="D33" s="37"/>
      <c r="E33" s="43" t="str">
        <f t="array" ref="E33">IF(INDEX(B:B,ROW())="","",VLOOKUP(INDEX(B:B,ROW()),'Produtos Bazar'!$A$8:$K$107,11,FALSE))</f>
        <v/>
      </c>
      <c r="F33" s="43" t="str">
        <f t="shared" si="1"/>
        <v/>
      </c>
      <c r="G33" s="32"/>
      <c r="H33" s="32"/>
      <c r="I33" s="32"/>
      <c r="J33" s="32"/>
    </row>
    <row r="34">
      <c r="A34" s="31"/>
      <c r="B34" s="32"/>
      <c r="C34" s="35" t="str">
        <f t="array" ref="C34">IF(INDEX(B:B,ROW())="","",VLOOKUP(INDEX(B:B,ROW()),'Produtos Bazar'!$A$8:$K$107,2,FALSE))</f>
        <v/>
      </c>
      <c r="D34" s="37"/>
      <c r="E34" s="43" t="str">
        <f t="array" ref="E34">IF(INDEX(B:B,ROW())="","",VLOOKUP(INDEX(B:B,ROW()),'Produtos Bazar'!$A$8:$K$107,11,FALSE))</f>
        <v/>
      </c>
      <c r="F34" s="43" t="str">
        <f t="shared" si="1"/>
        <v/>
      </c>
      <c r="G34" s="32"/>
      <c r="H34" s="32"/>
      <c r="I34" s="32"/>
      <c r="J34" s="32"/>
    </row>
    <row r="35">
      <c r="A35" s="31"/>
      <c r="B35" s="32"/>
      <c r="C35" s="35" t="str">
        <f t="array" ref="C35">IF(INDEX(B:B,ROW())="","",VLOOKUP(INDEX(B:B,ROW()),'Produtos Bazar'!$A$8:$K$107,2,FALSE))</f>
        <v/>
      </c>
      <c r="D35" s="37"/>
      <c r="E35" s="43" t="str">
        <f t="array" ref="E35">IF(INDEX(B:B,ROW())="","",VLOOKUP(INDEX(B:B,ROW()),'Produtos Bazar'!$A$8:$K$107,11,FALSE))</f>
        <v/>
      </c>
      <c r="F35" s="43" t="str">
        <f t="shared" si="1"/>
        <v/>
      </c>
      <c r="G35" s="32"/>
      <c r="H35" s="32"/>
      <c r="I35" s="32"/>
      <c r="J35" s="32"/>
    </row>
    <row r="36">
      <c r="A36" s="31"/>
      <c r="B36" s="32"/>
      <c r="C36" s="35" t="str">
        <f t="array" ref="C36">IF(INDEX(B:B,ROW())="","",VLOOKUP(INDEX(B:B,ROW()),'Produtos Bazar'!$A$8:$K$107,2,FALSE))</f>
        <v/>
      </c>
      <c r="D36" s="37"/>
      <c r="E36" s="43" t="str">
        <f t="array" ref="E36">IF(INDEX(B:B,ROW())="","",VLOOKUP(INDEX(B:B,ROW()),'Produtos Bazar'!$A$8:$K$107,11,FALSE))</f>
        <v/>
      </c>
      <c r="F36" s="43" t="str">
        <f t="shared" si="1"/>
        <v/>
      </c>
      <c r="G36" s="32"/>
      <c r="H36" s="32"/>
      <c r="I36" s="32"/>
      <c r="J36" s="32"/>
    </row>
    <row r="37">
      <c r="A37" s="31"/>
      <c r="B37" s="32"/>
      <c r="C37" s="35" t="str">
        <f t="array" ref="C37">IF(INDEX(B:B,ROW())="","",VLOOKUP(INDEX(B:B,ROW()),'Produtos Bazar'!$A$8:$K$107,2,FALSE))</f>
        <v/>
      </c>
      <c r="D37" s="37"/>
      <c r="E37" s="43" t="str">
        <f t="array" ref="E37">IF(INDEX(B:B,ROW())="","",VLOOKUP(INDEX(B:B,ROW()),'Produtos Bazar'!$A$8:$K$107,11,FALSE))</f>
        <v/>
      </c>
      <c r="F37" s="43" t="str">
        <f t="shared" si="1"/>
        <v/>
      </c>
      <c r="G37" s="32"/>
      <c r="H37" s="32"/>
      <c r="I37" s="32"/>
      <c r="J37" s="32"/>
    </row>
    <row r="38">
      <c r="A38" s="31"/>
      <c r="B38" s="32"/>
      <c r="C38" s="35" t="str">
        <f t="array" ref="C38">IF(INDEX(B:B,ROW())="","",VLOOKUP(INDEX(B:B,ROW()),'Produtos Bazar'!$A$8:$K$107,2,FALSE))</f>
        <v/>
      </c>
      <c r="D38" s="37"/>
      <c r="E38" s="43" t="str">
        <f t="array" ref="E38">IF(INDEX(B:B,ROW())="","",VLOOKUP(INDEX(B:B,ROW()),'Produtos Bazar'!$A$8:$K$107,11,FALSE))</f>
        <v/>
      </c>
      <c r="F38" s="43" t="str">
        <f t="shared" si="1"/>
        <v/>
      </c>
      <c r="G38" s="32"/>
      <c r="H38" s="32"/>
      <c r="I38" s="32"/>
      <c r="J38" s="32"/>
    </row>
    <row r="39">
      <c r="A39" s="31"/>
      <c r="B39" s="32"/>
      <c r="C39" s="35" t="str">
        <f t="array" ref="C39">IF(INDEX(B:B,ROW())="","",VLOOKUP(INDEX(B:B,ROW()),'Produtos Bazar'!$A$8:$K$107,2,FALSE))</f>
        <v/>
      </c>
      <c r="D39" s="37"/>
      <c r="E39" s="43" t="str">
        <f t="array" ref="E39">IF(INDEX(B:B,ROW())="","",VLOOKUP(INDEX(B:B,ROW()),'Produtos Bazar'!$A$8:$K$107,11,FALSE))</f>
        <v/>
      </c>
      <c r="F39" s="43" t="str">
        <f t="shared" si="1"/>
        <v/>
      </c>
      <c r="G39" s="32"/>
      <c r="H39" s="32"/>
      <c r="I39" s="32"/>
      <c r="J39" s="32"/>
    </row>
    <row r="40">
      <c r="A40" s="31"/>
      <c r="B40" s="32"/>
      <c r="C40" s="35" t="str">
        <f t="array" ref="C40">IF(INDEX(B:B,ROW())="","",VLOOKUP(INDEX(B:B,ROW()),'Produtos Bazar'!$A$8:$K$107,2,FALSE))</f>
        <v/>
      </c>
      <c r="D40" s="37"/>
      <c r="E40" s="43" t="str">
        <f t="array" ref="E40">IF(INDEX(B:B,ROW())="","",VLOOKUP(INDEX(B:B,ROW()),'Produtos Bazar'!$A$8:$K$107,11,FALSE))</f>
        <v/>
      </c>
      <c r="F40" s="43" t="str">
        <f t="shared" si="1"/>
        <v/>
      </c>
      <c r="G40" s="32"/>
      <c r="H40" s="32"/>
      <c r="I40" s="32"/>
      <c r="J40" s="32"/>
    </row>
    <row r="41">
      <c r="A41" s="31"/>
      <c r="B41" s="32"/>
      <c r="C41" s="35" t="str">
        <f t="array" ref="C41">IF(INDEX(B:B,ROW())="","",VLOOKUP(INDEX(B:B,ROW()),'Produtos Bazar'!$A$8:$K$107,2,FALSE))</f>
        <v/>
      </c>
      <c r="D41" s="37"/>
      <c r="E41" s="43" t="str">
        <f t="array" ref="E41">IF(INDEX(B:B,ROW())="","",VLOOKUP(INDEX(B:B,ROW()),'Produtos Bazar'!$A$8:$K$107,11,FALSE))</f>
        <v/>
      </c>
      <c r="F41" s="43" t="str">
        <f t="shared" si="1"/>
        <v/>
      </c>
      <c r="G41" s="32"/>
      <c r="H41" s="32"/>
      <c r="I41" s="32"/>
      <c r="J41" s="32"/>
    </row>
    <row r="42">
      <c r="A42" s="31"/>
      <c r="B42" s="32"/>
      <c r="C42" s="35" t="str">
        <f t="array" ref="C42">IF(INDEX(B:B,ROW())="","",VLOOKUP(INDEX(B:B,ROW()),'Produtos Bazar'!$A$8:$K$107,2,FALSE))</f>
        <v/>
      </c>
      <c r="D42" s="37"/>
      <c r="E42" s="43" t="str">
        <f t="array" ref="E42">IF(INDEX(B:B,ROW())="","",VLOOKUP(INDEX(B:B,ROW()),'Produtos Bazar'!$A$8:$K$107,11,FALSE))</f>
        <v/>
      </c>
      <c r="F42" s="43" t="str">
        <f t="shared" si="1"/>
        <v/>
      </c>
      <c r="G42" s="32"/>
      <c r="H42" s="32"/>
      <c r="I42" s="32"/>
      <c r="J42" s="32"/>
    </row>
    <row r="43">
      <c r="A43" s="31"/>
      <c r="B43" s="32"/>
      <c r="C43" s="35" t="str">
        <f t="array" ref="C43">IF(INDEX(B:B,ROW())="","",VLOOKUP(INDEX(B:B,ROW()),'Produtos Bazar'!$A$8:$K$107,2,FALSE))</f>
        <v/>
      </c>
      <c r="D43" s="37"/>
      <c r="E43" s="43" t="str">
        <f t="array" ref="E43">IF(INDEX(B:B,ROW())="","",VLOOKUP(INDEX(B:B,ROW()),'Produtos Bazar'!$A$8:$K$107,11,FALSE))</f>
        <v/>
      </c>
      <c r="F43" s="43" t="str">
        <f t="shared" si="1"/>
        <v/>
      </c>
      <c r="G43" s="32"/>
      <c r="H43" s="32"/>
      <c r="I43" s="32"/>
      <c r="J43" s="32"/>
    </row>
    <row r="44">
      <c r="A44" s="31"/>
      <c r="B44" s="32"/>
      <c r="C44" s="35" t="str">
        <f t="array" ref="C44">IF(INDEX(B:B,ROW())="","",VLOOKUP(INDEX(B:B,ROW()),'Produtos Bazar'!$A$8:$K$107,2,FALSE))</f>
        <v/>
      </c>
      <c r="D44" s="37"/>
      <c r="E44" s="43" t="str">
        <f t="array" ref="E44">IF(INDEX(B:B,ROW())="","",VLOOKUP(INDEX(B:B,ROW()),'Produtos Bazar'!$A$8:$K$107,11,FALSE))</f>
        <v/>
      </c>
      <c r="F44" s="43" t="str">
        <f t="shared" si="1"/>
        <v/>
      </c>
      <c r="G44" s="32"/>
      <c r="H44" s="32"/>
      <c r="I44" s="32"/>
      <c r="J44" s="32"/>
    </row>
    <row r="45">
      <c r="A45" s="31"/>
      <c r="B45" s="32"/>
      <c r="C45" s="35" t="str">
        <f t="array" ref="C45">IF(INDEX(B:B,ROW())="","",VLOOKUP(INDEX(B:B,ROW()),'Produtos Bazar'!$A$8:$K$107,2,FALSE))</f>
        <v/>
      </c>
      <c r="D45" s="37"/>
      <c r="E45" s="43" t="str">
        <f t="array" ref="E45">IF(INDEX(B:B,ROW())="","",VLOOKUP(INDEX(B:B,ROW()),'Produtos Bazar'!$A$8:$K$107,11,FALSE))</f>
        <v/>
      </c>
      <c r="F45" s="43" t="str">
        <f t="shared" si="1"/>
        <v/>
      </c>
      <c r="G45" s="32"/>
      <c r="H45" s="32"/>
      <c r="I45" s="32"/>
      <c r="J45" s="32"/>
    </row>
    <row r="46">
      <c r="A46" s="31"/>
      <c r="B46" s="32"/>
      <c r="C46" s="35" t="str">
        <f t="array" ref="C46">IF(INDEX(B:B,ROW())="","",VLOOKUP(INDEX(B:B,ROW()),'Produtos Bazar'!$A$8:$K$107,2,FALSE))</f>
        <v/>
      </c>
      <c r="D46" s="37"/>
      <c r="E46" s="43" t="str">
        <f t="array" ref="E46">IF(INDEX(B:B,ROW())="","",VLOOKUP(INDEX(B:B,ROW()),'Produtos Bazar'!$A$8:$K$107,11,FALSE))</f>
        <v/>
      </c>
      <c r="F46" s="43" t="str">
        <f t="shared" si="1"/>
        <v/>
      </c>
      <c r="G46" s="32"/>
      <c r="H46" s="32"/>
      <c r="I46" s="32"/>
      <c r="J46" s="32"/>
    </row>
    <row r="47">
      <c r="A47" s="31"/>
      <c r="B47" s="32"/>
      <c r="C47" s="35" t="str">
        <f t="array" ref="C47">IF(INDEX(B:B,ROW())="","",VLOOKUP(INDEX(B:B,ROW()),'Produtos Bazar'!$A$8:$K$107,2,FALSE))</f>
        <v/>
      </c>
      <c r="D47" s="37"/>
      <c r="E47" s="43" t="str">
        <f t="array" ref="E47">IF(INDEX(B:B,ROW())="","",VLOOKUP(INDEX(B:B,ROW()),'Produtos Bazar'!$A$8:$K$107,11,FALSE))</f>
        <v/>
      </c>
      <c r="F47" s="43" t="str">
        <f t="shared" si="1"/>
        <v/>
      </c>
      <c r="G47" s="32"/>
      <c r="H47" s="32"/>
      <c r="I47" s="32"/>
      <c r="J47" s="32"/>
    </row>
    <row r="48">
      <c r="A48" s="31"/>
      <c r="B48" s="32"/>
      <c r="C48" s="35" t="str">
        <f t="array" ref="C48">IF(INDEX(B:B,ROW())="","",VLOOKUP(INDEX(B:B,ROW()),'Produtos Bazar'!$A$8:$K$107,2,FALSE))</f>
        <v/>
      </c>
      <c r="D48" s="37"/>
      <c r="E48" s="43" t="str">
        <f t="array" ref="E48">IF(INDEX(B:B,ROW())="","",VLOOKUP(INDEX(B:B,ROW()),'Produtos Bazar'!$A$8:$K$107,11,FALSE))</f>
        <v/>
      </c>
      <c r="F48" s="43" t="str">
        <f t="shared" si="1"/>
        <v/>
      </c>
      <c r="G48" s="32"/>
      <c r="H48" s="32"/>
      <c r="I48" s="32"/>
      <c r="J48" s="32"/>
    </row>
    <row r="49">
      <c r="A49" s="31"/>
      <c r="B49" s="32"/>
      <c r="C49" s="35" t="str">
        <f t="array" ref="C49">IF(INDEX(B:B,ROW())="","",VLOOKUP(INDEX(B:B,ROW()),'Produtos Bazar'!$A$8:$K$107,2,FALSE))</f>
        <v/>
      </c>
      <c r="D49" s="37"/>
      <c r="E49" s="43" t="str">
        <f t="array" ref="E49">IF(INDEX(B:B,ROW())="","",VLOOKUP(INDEX(B:B,ROW()),'Produtos Bazar'!$A$8:$K$107,11,FALSE))</f>
        <v/>
      </c>
      <c r="F49" s="43" t="str">
        <f t="shared" si="1"/>
        <v/>
      </c>
      <c r="G49" s="32"/>
      <c r="H49" s="32"/>
      <c r="I49" s="32"/>
      <c r="J49" s="32"/>
    </row>
    <row r="50">
      <c r="A50" s="31"/>
      <c r="B50" s="32"/>
      <c r="C50" s="35" t="str">
        <f t="array" ref="C50">IF(INDEX(B:B,ROW())="","",VLOOKUP(INDEX(B:B,ROW()),'Produtos Bazar'!$A$8:$K$107,2,FALSE))</f>
        <v/>
      </c>
      <c r="D50" s="37"/>
      <c r="E50" s="43" t="str">
        <f t="array" ref="E50">IF(INDEX(B:B,ROW())="","",VLOOKUP(INDEX(B:B,ROW()),'Produtos Bazar'!$A$8:$K$107,11,FALSE))</f>
        <v/>
      </c>
      <c r="F50" s="43" t="str">
        <f t="shared" si="1"/>
        <v/>
      </c>
      <c r="G50" s="32"/>
      <c r="H50" s="32"/>
      <c r="I50" s="32"/>
      <c r="J50" s="32"/>
    </row>
    <row r="51">
      <c r="A51" s="31"/>
      <c r="B51" s="32"/>
      <c r="C51" s="35" t="str">
        <f t="array" ref="C51">IF(INDEX(B:B,ROW())="","",VLOOKUP(INDEX(B:B,ROW()),'Produtos Bazar'!$A$8:$K$107,2,FALSE))</f>
        <v/>
      </c>
      <c r="D51" s="37"/>
      <c r="E51" s="43" t="str">
        <f t="array" ref="E51">IF(INDEX(B:B,ROW())="","",VLOOKUP(INDEX(B:B,ROW()),'Produtos Bazar'!$A$8:$K$107,11,FALSE))</f>
        <v/>
      </c>
      <c r="F51" s="43" t="str">
        <f t="shared" si="1"/>
        <v/>
      </c>
      <c r="G51" s="32"/>
      <c r="H51" s="32"/>
      <c r="I51" s="32"/>
      <c r="J51" s="32"/>
    </row>
    <row r="52">
      <c r="A52" s="31"/>
      <c r="B52" s="32"/>
      <c r="C52" s="35" t="str">
        <f t="array" ref="C52">IF(INDEX(B:B,ROW())="","",VLOOKUP(INDEX(B:B,ROW()),'Produtos Bazar'!$A$8:$K$107,2,FALSE))</f>
        <v/>
      </c>
      <c r="D52" s="37"/>
      <c r="E52" s="43" t="str">
        <f t="array" ref="E52">IF(INDEX(B:B,ROW())="","",VLOOKUP(INDEX(B:B,ROW()),'Produtos Bazar'!$A$8:$K$107,11,FALSE))</f>
        <v/>
      </c>
      <c r="F52" s="43" t="str">
        <f t="shared" si="1"/>
        <v/>
      </c>
      <c r="G52" s="32"/>
      <c r="H52" s="32"/>
      <c r="I52" s="32"/>
      <c r="J52" s="32"/>
    </row>
    <row r="53">
      <c r="A53" s="31"/>
      <c r="B53" s="32"/>
      <c r="C53" s="35" t="str">
        <f t="array" ref="C53">IF(INDEX(B:B,ROW())="","",VLOOKUP(INDEX(B:B,ROW()),'Produtos Bazar'!$A$8:$K$107,2,FALSE))</f>
        <v/>
      </c>
      <c r="D53" s="37"/>
      <c r="E53" s="43" t="str">
        <f t="array" ref="E53">IF(INDEX(B:B,ROW())="","",VLOOKUP(INDEX(B:B,ROW()),'Produtos Bazar'!$A$8:$K$107,11,FALSE))</f>
        <v/>
      </c>
      <c r="F53" s="43" t="str">
        <f t="shared" si="1"/>
        <v/>
      </c>
      <c r="G53" s="32"/>
      <c r="H53" s="32"/>
      <c r="I53" s="32"/>
      <c r="J53" s="32"/>
    </row>
    <row r="54">
      <c r="A54" s="31"/>
      <c r="B54" s="32"/>
      <c r="C54" s="35" t="str">
        <f t="array" ref="C54">IF(INDEX(B:B,ROW())="","",VLOOKUP(INDEX(B:B,ROW()),'Produtos Bazar'!$A$8:$K$107,2,FALSE))</f>
        <v/>
      </c>
      <c r="D54" s="37"/>
      <c r="E54" s="43" t="str">
        <f t="array" ref="E54">IF(INDEX(B:B,ROW())="","",VLOOKUP(INDEX(B:B,ROW()),'Produtos Bazar'!$A$8:$K$107,11,FALSE))</f>
        <v/>
      </c>
      <c r="F54" s="43" t="str">
        <f t="shared" si="1"/>
        <v/>
      </c>
      <c r="G54" s="32"/>
      <c r="H54" s="32"/>
      <c r="I54" s="32"/>
      <c r="J54" s="32"/>
    </row>
    <row r="55">
      <c r="A55" s="31"/>
      <c r="B55" s="32"/>
      <c r="C55" s="35" t="str">
        <f t="array" ref="C55">IF(INDEX(B:B,ROW())="","",VLOOKUP(INDEX(B:B,ROW()),'Produtos Bazar'!$A$8:$K$107,2,FALSE))</f>
        <v/>
      </c>
      <c r="D55" s="37"/>
      <c r="E55" s="43" t="str">
        <f t="array" ref="E55">IF(INDEX(B:B,ROW())="","",VLOOKUP(INDEX(B:B,ROW()),'Produtos Bazar'!$A$8:$K$107,11,FALSE))</f>
        <v/>
      </c>
      <c r="F55" s="43" t="str">
        <f t="shared" si="1"/>
        <v/>
      </c>
      <c r="G55" s="32"/>
      <c r="H55" s="32"/>
      <c r="I55" s="32"/>
      <c r="J55" s="32"/>
    </row>
    <row r="56">
      <c r="A56" s="31"/>
      <c r="B56" s="32"/>
      <c r="C56" s="35" t="str">
        <f t="array" ref="C56">IF(INDEX(B:B,ROW())="","",VLOOKUP(INDEX(B:B,ROW()),'Produtos Bazar'!$A$8:$K$107,2,FALSE))</f>
        <v/>
      </c>
      <c r="D56" s="37"/>
      <c r="E56" s="43" t="str">
        <f t="array" ref="E56">IF(INDEX(B:B,ROW())="","",VLOOKUP(INDEX(B:B,ROW()),'Produtos Bazar'!$A$8:$K$107,11,FALSE))</f>
        <v/>
      </c>
      <c r="F56" s="43" t="str">
        <f t="shared" si="1"/>
        <v/>
      </c>
      <c r="G56" s="32"/>
      <c r="H56" s="32"/>
      <c r="I56" s="32"/>
      <c r="J56" s="32"/>
    </row>
    <row r="57">
      <c r="A57" s="31"/>
      <c r="B57" s="32"/>
      <c r="C57" s="35" t="str">
        <f t="array" ref="C57">IF(INDEX(B:B,ROW())="","",VLOOKUP(INDEX(B:B,ROW()),'Produtos Bazar'!$A$8:$K$107,2,FALSE))</f>
        <v/>
      </c>
      <c r="D57" s="37"/>
      <c r="E57" s="43" t="str">
        <f t="array" ref="E57">IF(INDEX(B:B,ROW())="","",VLOOKUP(INDEX(B:B,ROW()),'Produtos Bazar'!$A$8:$K$107,11,FALSE))</f>
        <v/>
      </c>
      <c r="F57" s="43" t="str">
        <f t="shared" si="1"/>
        <v/>
      </c>
      <c r="G57" s="32"/>
      <c r="H57" s="32"/>
      <c r="I57" s="32"/>
      <c r="J57" s="32"/>
    </row>
    <row r="58">
      <c r="A58" s="31"/>
      <c r="B58" s="32"/>
      <c r="C58" s="35" t="str">
        <f t="array" ref="C58">IF(INDEX(B:B,ROW())="","",VLOOKUP(INDEX(B:B,ROW()),'Produtos Bazar'!$A$8:$K$107,2,FALSE))</f>
        <v/>
      </c>
      <c r="D58" s="37"/>
      <c r="E58" s="43" t="str">
        <f t="array" ref="E58">IF(INDEX(B:B,ROW())="","",VLOOKUP(INDEX(B:B,ROW()),'Produtos Bazar'!$A$8:$K$107,11,FALSE))</f>
        <v/>
      </c>
      <c r="F58" s="43" t="str">
        <f t="shared" si="1"/>
        <v/>
      </c>
      <c r="G58" s="32"/>
      <c r="H58" s="32"/>
      <c r="I58" s="32"/>
      <c r="J58" s="32"/>
    </row>
    <row r="59">
      <c r="A59" s="31"/>
      <c r="B59" s="32"/>
      <c r="C59" s="35" t="str">
        <f t="array" ref="C59">IF(INDEX(B:B,ROW())="","",VLOOKUP(INDEX(B:B,ROW()),'Produtos Bazar'!$A$8:$K$107,2,FALSE))</f>
        <v/>
      </c>
      <c r="D59" s="37"/>
      <c r="E59" s="43" t="str">
        <f t="array" ref="E59">IF(INDEX(B:B,ROW())="","",VLOOKUP(INDEX(B:B,ROW()),'Produtos Bazar'!$A$8:$K$107,11,FALSE))</f>
        <v/>
      </c>
      <c r="F59" s="43" t="str">
        <f t="shared" si="1"/>
        <v/>
      </c>
      <c r="G59" s="32"/>
      <c r="H59" s="32"/>
      <c r="I59" s="32"/>
      <c r="J59" s="32"/>
    </row>
    <row r="60">
      <c r="A60" s="31"/>
      <c r="B60" s="32"/>
      <c r="C60" s="35" t="str">
        <f t="array" ref="C60">IF(INDEX(B:B,ROW())="","",VLOOKUP(INDEX(B:B,ROW()),'Produtos Bazar'!$A$8:$K$107,2,FALSE))</f>
        <v/>
      </c>
      <c r="D60" s="37"/>
      <c r="E60" s="43" t="str">
        <f t="array" ref="E60">IF(INDEX(B:B,ROW())="","",VLOOKUP(INDEX(B:B,ROW()),'Produtos Bazar'!$A$8:$K$107,11,FALSE))</f>
        <v/>
      </c>
      <c r="F60" s="43" t="str">
        <f t="shared" si="1"/>
        <v/>
      </c>
      <c r="G60" s="32"/>
      <c r="H60" s="32"/>
      <c r="I60" s="32"/>
      <c r="J60" s="32"/>
    </row>
    <row r="61">
      <c r="A61" s="31"/>
      <c r="B61" s="32"/>
      <c r="C61" s="35" t="str">
        <f t="array" ref="C61">IF(INDEX(B:B,ROW())="","",VLOOKUP(INDEX(B:B,ROW()),'Produtos Bazar'!$A$8:$K$107,2,FALSE))</f>
        <v/>
      </c>
      <c r="D61" s="37"/>
      <c r="E61" s="43" t="str">
        <f t="array" ref="E61">IF(INDEX(B:B,ROW())="","",VLOOKUP(INDEX(B:B,ROW()),'Produtos Bazar'!$A$8:$K$107,11,FALSE))</f>
        <v/>
      </c>
      <c r="F61" s="43" t="str">
        <f t="shared" si="1"/>
        <v/>
      </c>
      <c r="G61" s="32"/>
      <c r="H61" s="32"/>
      <c r="I61" s="32"/>
      <c r="J61" s="32"/>
    </row>
    <row r="62">
      <c r="A62" s="31"/>
      <c r="B62" s="32"/>
      <c r="C62" s="35" t="str">
        <f t="array" ref="C62">IF(INDEX(B:B,ROW())="","",VLOOKUP(INDEX(B:B,ROW()),'Produtos Bazar'!$A$8:$K$107,2,FALSE))</f>
        <v/>
      </c>
      <c r="D62" s="37"/>
      <c r="E62" s="43" t="str">
        <f t="array" ref="E62">IF(INDEX(B:B,ROW())="","",VLOOKUP(INDEX(B:B,ROW()),'Produtos Bazar'!$A$8:$K$107,11,FALSE))</f>
        <v/>
      </c>
      <c r="F62" s="43" t="str">
        <f t="shared" si="1"/>
        <v/>
      </c>
      <c r="G62" s="32"/>
      <c r="H62" s="32"/>
      <c r="I62" s="32"/>
      <c r="J62" s="32"/>
    </row>
    <row r="63">
      <c r="A63" s="31"/>
      <c r="B63" s="32"/>
      <c r="C63" s="35" t="str">
        <f t="array" ref="C63">IF(INDEX(B:B,ROW())="","",VLOOKUP(INDEX(B:B,ROW()),'Produtos Bazar'!$A$8:$K$107,2,FALSE))</f>
        <v/>
      </c>
      <c r="D63" s="37"/>
      <c r="E63" s="43" t="str">
        <f t="array" ref="E63">IF(INDEX(B:B,ROW())="","",VLOOKUP(INDEX(B:B,ROW()),'Produtos Bazar'!$A$8:$K$107,11,FALSE))</f>
        <v/>
      </c>
      <c r="F63" s="43" t="str">
        <f t="shared" si="1"/>
        <v/>
      </c>
      <c r="G63" s="32"/>
      <c r="H63" s="32"/>
      <c r="I63" s="32"/>
      <c r="J63" s="32"/>
    </row>
    <row r="64">
      <c r="A64" s="31"/>
      <c r="B64" s="32"/>
      <c r="C64" s="35" t="str">
        <f t="array" ref="C64">IF(INDEX(B:B,ROW())="","",VLOOKUP(INDEX(B:B,ROW()),'Produtos Bazar'!$A$8:$K$107,2,FALSE))</f>
        <v/>
      </c>
      <c r="D64" s="37"/>
      <c r="E64" s="43" t="str">
        <f t="array" ref="E64">IF(INDEX(B:B,ROW())="","",VLOOKUP(INDEX(B:B,ROW()),'Produtos Bazar'!$A$8:$K$107,11,FALSE))</f>
        <v/>
      </c>
      <c r="F64" s="43" t="str">
        <f t="shared" si="1"/>
        <v/>
      </c>
      <c r="G64" s="32"/>
      <c r="H64" s="32"/>
      <c r="I64" s="32"/>
      <c r="J64" s="32"/>
    </row>
    <row r="65">
      <c r="A65" s="31"/>
      <c r="B65" s="32"/>
      <c r="C65" s="35" t="str">
        <f t="array" ref="C65">IF(INDEX(B:B,ROW())="","",VLOOKUP(INDEX(B:B,ROW()),'Produtos Bazar'!$A$8:$K$107,2,FALSE))</f>
        <v/>
      </c>
      <c r="D65" s="37"/>
      <c r="E65" s="43" t="str">
        <f t="array" ref="E65">IF(INDEX(B:B,ROW())="","",VLOOKUP(INDEX(B:B,ROW()),'Produtos Bazar'!$A$8:$K$107,11,FALSE))</f>
        <v/>
      </c>
      <c r="F65" s="43" t="str">
        <f t="shared" si="1"/>
        <v/>
      </c>
      <c r="G65" s="32"/>
      <c r="H65" s="32"/>
      <c r="I65" s="32"/>
      <c r="J65" s="32"/>
    </row>
    <row r="66">
      <c r="A66" s="31"/>
      <c r="B66" s="32"/>
      <c r="C66" s="35" t="str">
        <f t="array" ref="C66">IF(INDEX(B:B,ROW())="","",VLOOKUP(INDEX(B:B,ROW()),'Produtos Bazar'!$A$8:$K$107,2,FALSE))</f>
        <v/>
      </c>
      <c r="D66" s="37"/>
      <c r="E66" s="43" t="str">
        <f t="array" ref="E66">IF(INDEX(B:B,ROW())="","",VLOOKUP(INDEX(B:B,ROW()),'Produtos Bazar'!$A$8:$K$107,11,FALSE))</f>
        <v/>
      </c>
      <c r="F66" s="43" t="str">
        <f t="shared" si="1"/>
        <v/>
      </c>
      <c r="G66" s="32"/>
      <c r="H66" s="32"/>
      <c r="I66" s="32"/>
      <c r="J66" s="32"/>
    </row>
    <row r="67">
      <c r="A67" s="31"/>
      <c r="B67" s="32"/>
      <c r="C67" s="35" t="str">
        <f t="array" ref="C67">IF(INDEX(B:B,ROW())="","",VLOOKUP(INDEX(B:B,ROW()),'Produtos Bazar'!$A$8:$K$107,2,FALSE))</f>
        <v/>
      </c>
      <c r="D67" s="37"/>
      <c r="E67" s="43" t="str">
        <f t="array" ref="E67">IF(INDEX(B:B,ROW())="","",VLOOKUP(INDEX(B:B,ROW()),'Produtos Bazar'!$A$8:$K$107,11,FALSE))</f>
        <v/>
      </c>
      <c r="F67" s="43" t="str">
        <f t="shared" si="1"/>
        <v/>
      </c>
      <c r="G67" s="32"/>
      <c r="H67" s="32"/>
      <c r="I67" s="32"/>
      <c r="J67" s="32"/>
    </row>
    <row r="68">
      <c r="A68" s="31"/>
      <c r="B68" s="32"/>
      <c r="C68" s="35" t="str">
        <f t="array" ref="C68">IF(INDEX(B:B,ROW())="","",VLOOKUP(INDEX(B:B,ROW()),'Produtos Bazar'!$A$8:$K$107,2,FALSE))</f>
        <v/>
      </c>
      <c r="D68" s="37"/>
      <c r="E68" s="43" t="str">
        <f t="array" ref="E68">IF(INDEX(B:B,ROW())="","",VLOOKUP(INDEX(B:B,ROW()),'Produtos Bazar'!$A$8:$K$107,11,FALSE))</f>
        <v/>
      </c>
      <c r="F68" s="43" t="str">
        <f t="shared" si="1"/>
        <v/>
      </c>
      <c r="G68" s="32"/>
      <c r="H68" s="32"/>
      <c r="I68" s="32"/>
      <c r="J68" s="32"/>
    </row>
    <row r="69">
      <c r="A69" s="31"/>
      <c r="B69" s="32"/>
      <c r="C69" s="35" t="str">
        <f t="array" ref="C69">IF(INDEX(B:B,ROW())="","",VLOOKUP(INDEX(B:B,ROW()),'Produtos Bazar'!$A$8:$K$107,2,FALSE))</f>
        <v/>
      </c>
      <c r="D69" s="37"/>
      <c r="E69" s="43" t="str">
        <f t="array" ref="E69">IF(INDEX(B:B,ROW())="","",VLOOKUP(INDEX(B:B,ROW()),'Produtos Bazar'!$A$8:$K$107,11,FALSE))</f>
        <v/>
      </c>
      <c r="F69" s="43" t="str">
        <f t="shared" si="1"/>
        <v/>
      </c>
      <c r="G69" s="32"/>
      <c r="H69" s="32"/>
      <c r="I69" s="32"/>
      <c r="J69" s="32"/>
    </row>
    <row r="70">
      <c r="A70" s="31"/>
      <c r="B70" s="32"/>
      <c r="C70" s="35" t="str">
        <f t="array" ref="C70">IF(INDEX(B:B,ROW())="","",VLOOKUP(INDEX(B:B,ROW()),'Produtos Bazar'!$A$8:$K$107,2,FALSE))</f>
        <v/>
      </c>
      <c r="D70" s="37"/>
      <c r="E70" s="43" t="str">
        <f t="array" ref="E70">IF(INDEX(B:B,ROW())="","",VLOOKUP(INDEX(B:B,ROW()),'Produtos Bazar'!$A$8:$K$107,11,FALSE))</f>
        <v/>
      </c>
      <c r="F70" s="43" t="str">
        <f t="shared" si="1"/>
        <v/>
      </c>
      <c r="G70" s="32"/>
      <c r="H70" s="32"/>
      <c r="I70" s="32"/>
      <c r="J70" s="32"/>
    </row>
    <row r="71">
      <c r="A71" s="31"/>
      <c r="B71" s="32"/>
      <c r="C71" s="35" t="str">
        <f t="array" ref="C71">IF(INDEX(B:B,ROW())="","",VLOOKUP(INDEX(B:B,ROW()),'Produtos Bazar'!$A$8:$K$107,2,FALSE))</f>
        <v/>
      </c>
      <c r="D71" s="37"/>
      <c r="E71" s="43" t="str">
        <f t="array" ref="E71">IF(INDEX(B:B,ROW())="","",VLOOKUP(INDEX(B:B,ROW()),'Produtos Bazar'!$A$8:$K$107,11,FALSE))</f>
        <v/>
      </c>
      <c r="F71" s="43" t="str">
        <f t="shared" si="1"/>
        <v/>
      </c>
      <c r="G71" s="32"/>
      <c r="H71" s="32"/>
      <c r="I71" s="32"/>
      <c r="J71" s="32"/>
    </row>
    <row r="72">
      <c r="A72" s="31"/>
      <c r="B72" s="32"/>
      <c r="C72" s="35" t="str">
        <f t="array" ref="C72">IF(INDEX(B:B,ROW())="","",VLOOKUP(INDEX(B:B,ROW()),'Produtos Bazar'!$A$8:$K$107,2,FALSE))</f>
        <v/>
      </c>
      <c r="D72" s="37"/>
      <c r="E72" s="43" t="str">
        <f t="array" ref="E72">IF(INDEX(B:B,ROW())="","",VLOOKUP(INDEX(B:B,ROW()),'Produtos Bazar'!$A$8:$K$107,11,FALSE))</f>
        <v/>
      </c>
      <c r="F72" s="43" t="str">
        <f t="shared" si="1"/>
        <v/>
      </c>
      <c r="G72" s="32"/>
      <c r="H72" s="32"/>
      <c r="I72" s="32"/>
      <c r="J72" s="32"/>
    </row>
    <row r="73">
      <c r="A73" s="31"/>
      <c r="B73" s="32"/>
      <c r="C73" s="35" t="str">
        <f t="array" ref="C73">IF(INDEX(B:B,ROW())="","",VLOOKUP(INDEX(B:B,ROW()),'Produtos Bazar'!$A$8:$K$107,2,FALSE))</f>
        <v/>
      </c>
      <c r="D73" s="37"/>
      <c r="E73" s="43" t="str">
        <f t="array" ref="E73">IF(INDEX(B:B,ROW())="","",VLOOKUP(INDEX(B:B,ROW()),'Produtos Bazar'!$A$8:$K$107,11,FALSE))</f>
        <v/>
      </c>
      <c r="F73" s="43" t="str">
        <f t="shared" si="1"/>
        <v/>
      </c>
      <c r="G73" s="32"/>
      <c r="H73" s="32"/>
      <c r="I73" s="32"/>
      <c r="J73" s="32"/>
    </row>
    <row r="74">
      <c r="A74" s="31"/>
      <c r="B74" s="32"/>
      <c r="C74" s="35" t="str">
        <f t="array" ref="C74">IF(INDEX(B:B,ROW())="","",VLOOKUP(INDEX(B:B,ROW()),'Produtos Bazar'!$A$8:$K$107,2,FALSE))</f>
        <v/>
      </c>
      <c r="D74" s="37"/>
      <c r="E74" s="43" t="str">
        <f t="array" ref="E74">IF(INDEX(B:B,ROW())="","",VLOOKUP(INDEX(B:B,ROW()),'Produtos Bazar'!$A$8:$K$107,11,FALSE))</f>
        <v/>
      </c>
      <c r="F74" s="43" t="str">
        <f t="shared" si="1"/>
        <v/>
      </c>
      <c r="G74" s="32"/>
      <c r="H74" s="32"/>
      <c r="I74" s="32"/>
      <c r="J74" s="32"/>
    </row>
    <row r="75">
      <c r="A75" s="31"/>
      <c r="B75" s="32"/>
      <c r="C75" s="35" t="str">
        <f t="array" ref="C75">IF(INDEX(B:B,ROW())="","",VLOOKUP(INDEX(B:B,ROW()),'Produtos Bazar'!$A$8:$K$107,2,FALSE))</f>
        <v/>
      </c>
      <c r="D75" s="37"/>
      <c r="E75" s="43" t="str">
        <f t="array" ref="E75">IF(INDEX(B:B,ROW())="","",VLOOKUP(INDEX(B:B,ROW()),'Produtos Bazar'!$A$8:$K$107,11,FALSE))</f>
        <v/>
      </c>
      <c r="F75" s="43" t="str">
        <f t="shared" si="1"/>
        <v/>
      </c>
      <c r="G75" s="32"/>
      <c r="H75" s="32"/>
      <c r="I75" s="32"/>
      <c r="J75" s="32"/>
    </row>
    <row r="76">
      <c r="A76" s="31"/>
      <c r="B76" s="32"/>
      <c r="C76" s="35" t="str">
        <f t="array" ref="C76">IF(INDEX(B:B,ROW())="","",VLOOKUP(INDEX(B:B,ROW()),'Produtos Bazar'!$A$8:$K$107,2,FALSE))</f>
        <v/>
      </c>
      <c r="D76" s="37"/>
      <c r="E76" s="43" t="str">
        <f t="array" ref="E76">IF(INDEX(B:B,ROW())="","",VLOOKUP(INDEX(B:B,ROW()),'Produtos Bazar'!$A$8:$K$107,11,FALSE))</f>
        <v/>
      </c>
      <c r="F76" s="43" t="str">
        <f t="shared" si="1"/>
        <v/>
      </c>
      <c r="G76" s="32"/>
      <c r="H76" s="32"/>
      <c r="I76" s="32"/>
      <c r="J76" s="32"/>
    </row>
    <row r="77">
      <c r="A77" s="31"/>
      <c r="B77" s="32"/>
      <c r="C77" s="35" t="str">
        <f t="array" ref="C77">IF(INDEX(B:B,ROW())="","",VLOOKUP(INDEX(B:B,ROW()),'Produtos Bazar'!$A$8:$K$107,2,FALSE))</f>
        <v/>
      </c>
      <c r="D77" s="37"/>
      <c r="E77" s="43" t="str">
        <f t="array" ref="E77">IF(INDEX(B:B,ROW())="","",VLOOKUP(INDEX(B:B,ROW()),'Produtos Bazar'!$A$8:$K$107,11,FALSE))</f>
        <v/>
      </c>
      <c r="F77" s="43" t="str">
        <f t="shared" si="1"/>
        <v/>
      </c>
      <c r="G77" s="32"/>
      <c r="H77" s="32"/>
      <c r="I77" s="32"/>
      <c r="J77" s="32"/>
    </row>
    <row r="78">
      <c r="A78" s="31"/>
      <c r="B78" s="32"/>
      <c r="C78" s="35" t="str">
        <f t="array" ref="C78">IF(INDEX(B:B,ROW())="","",VLOOKUP(INDEX(B:B,ROW()),'Produtos Bazar'!$A$8:$K$107,2,FALSE))</f>
        <v/>
      </c>
      <c r="D78" s="37"/>
      <c r="E78" s="43" t="str">
        <f t="array" ref="E78">IF(INDEX(B:B,ROW())="","",VLOOKUP(INDEX(B:B,ROW()),'Produtos Bazar'!$A$8:$K$107,11,FALSE))</f>
        <v/>
      </c>
      <c r="F78" s="43" t="str">
        <f t="shared" si="1"/>
        <v/>
      </c>
      <c r="G78" s="32"/>
      <c r="H78" s="32"/>
      <c r="I78" s="32"/>
      <c r="J78" s="32"/>
    </row>
    <row r="79">
      <c r="A79" s="31"/>
      <c r="B79" s="32"/>
      <c r="C79" s="35" t="str">
        <f t="array" ref="C79">IF(INDEX(B:B,ROW())="","",VLOOKUP(INDEX(B:B,ROW()),'Produtos Bazar'!$A$8:$K$107,2,FALSE))</f>
        <v/>
      </c>
      <c r="D79" s="37"/>
      <c r="E79" s="43" t="str">
        <f t="array" ref="E79">IF(INDEX(B:B,ROW())="","",VLOOKUP(INDEX(B:B,ROW()),'Produtos Bazar'!$A$8:$K$107,11,FALSE))</f>
        <v/>
      </c>
      <c r="F79" s="43" t="str">
        <f t="shared" si="1"/>
        <v/>
      </c>
      <c r="G79" s="32"/>
      <c r="H79" s="32"/>
      <c r="I79" s="32"/>
      <c r="J79" s="32"/>
    </row>
    <row r="80">
      <c r="A80" s="31"/>
      <c r="B80" s="32"/>
      <c r="C80" s="35" t="str">
        <f t="array" ref="C80">IF(INDEX(B:B,ROW())="","",VLOOKUP(INDEX(B:B,ROW()),'Produtos Bazar'!$A$8:$K$107,2,FALSE))</f>
        <v/>
      </c>
      <c r="D80" s="37"/>
      <c r="E80" s="43" t="str">
        <f t="array" ref="E80">IF(INDEX(B:B,ROW())="","",VLOOKUP(INDEX(B:B,ROW()),'Produtos Bazar'!$A$8:$K$107,11,FALSE))</f>
        <v/>
      </c>
      <c r="F80" s="43" t="str">
        <f t="shared" si="1"/>
        <v/>
      </c>
      <c r="G80" s="32"/>
      <c r="H80" s="32"/>
      <c r="I80" s="32"/>
      <c r="J80" s="32"/>
    </row>
    <row r="81">
      <c r="A81" s="31"/>
      <c r="B81" s="32"/>
      <c r="C81" s="35" t="str">
        <f t="array" ref="C81">IF(INDEX(B:B,ROW())="","",VLOOKUP(INDEX(B:B,ROW()),'Produtos Bazar'!$A$8:$K$107,2,FALSE))</f>
        <v/>
      </c>
      <c r="D81" s="37"/>
      <c r="E81" s="43" t="str">
        <f t="array" ref="E81">IF(INDEX(B:B,ROW())="","",VLOOKUP(INDEX(B:B,ROW()),'Produtos Bazar'!$A$8:$K$107,11,FALSE))</f>
        <v/>
      </c>
      <c r="F81" s="43" t="str">
        <f t="shared" si="1"/>
        <v/>
      </c>
      <c r="G81" s="32"/>
      <c r="H81" s="32"/>
      <c r="I81" s="32"/>
      <c r="J81" s="32"/>
    </row>
    <row r="82">
      <c r="A82" s="31"/>
      <c r="B82" s="32"/>
      <c r="C82" s="35" t="str">
        <f t="array" ref="C82">IF(INDEX(B:B,ROW())="","",VLOOKUP(INDEX(B:B,ROW()),'Produtos Bazar'!$A$8:$K$107,2,FALSE))</f>
        <v/>
      </c>
      <c r="D82" s="37"/>
      <c r="E82" s="43" t="str">
        <f t="array" ref="E82">IF(INDEX(B:B,ROW())="","",VLOOKUP(INDEX(B:B,ROW()),'Produtos Bazar'!$A$8:$K$107,11,FALSE))</f>
        <v/>
      </c>
      <c r="F82" s="43" t="str">
        <f t="shared" si="1"/>
        <v/>
      </c>
      <c r="G82" s="32"/>
      <c r="H82" s="32"/>
      <c r="I82" s="32"/>
      <c r="J82" s="32"/>
    </row>
    <row r="83">
      <c r="A83" s="31"/>
      <c r="B83" s="32"/>
      <c r="C83" s="35" t="str">
        <f t="array" ref="C83">IF(INDEX(B:B,ROW())="","",VLOOKUP(INDEX(B:B,ROW()),'Produtos Bazar'!$A$8:$K$107,2,FALSE))</f>
        <v/>
      </c>
      <c r="D83" s="37"/>
      <c r="E83" s="43" t="str">
        <f t="array" ref="E83">IF(INDEX(B:B,ROW())="","",VLOOKUP(INDEX(B:B,ROW()),'Produtos Bazar'!$A$8:$K$107,11,FALSE))</f>
        <v/>
      </c>
      <c r="F83" s="43" t="str">
        <f t="shared" si="1"/>
        <v/>
      </c>
      <c r="G83" s="32"/>
      <c r="H83" s="32"/>
      <c r="I83" s="32"/>
      <c r="J83" s="32"/>
    </row>
    <row r="84">
      <c r="A84" s="31"/>
      <c r="B84" s="32"/>
      <c r="C84" s="35" t="str">
        <f t="array" ref="C84">IF(INDEX(B:B,ROW())="","",VLOOKUP(INDEX(B:B,ROW()),'Produtos Bazar'!$A$8:$K$107,2,FALSE))</f>
        <v/>
      </c>
      <c r="D84" s="37"/>
      <c r="E84" s="43" t="str">
        <f t="array" ref="E84">IF(INDEX(B:B,ROW())="","",VLOOKUP(INDEX(B:B,ROW()),'Produtos Bazar'!$A$8:$K$107,11,FALSE))</f>
        <v/>
      </c>
      <c r="F84" s="43" t="str">
        <f t="shared" si="1"/>
        <v/>
      </c>
      <c r="G84" s="32"/>
      <c r="H84" s="32"/>
      <c r="I84" s="32"/>
      <c r="J84" s="32"/>
    </row>
    <row r="85">
      <c r="A85" s="31"/>
      <c r="B85" s="32"/>
      <c r="C85" s="35" t="str">
        <f t="array" ref="C85">IF(INDEX(B:B,ROW())="","",VLOOKUP(INDEX(B:B,ROW()),'Produtos Bazar'!$A$8:$K$107,2,FALSE))</f>
        <v/>
      </c>
      <c r="D85" s="37"/>
      <c r="E85" s="43" t="str">
        <f t="array" ref="E85">IF(INDEX(B:B,ROW())="","",VLOOKUP(INDEX(B:B,ROW()),'Produtos Bazar'!$A$8:$K$107,11,FALSE))</f>
        <v/>
      </c>
      <c r="F85" s="43" t="str">
        <f t="shared" si="1"/>
        <v/>
      </c>
      <c r="G85" s="32"/>
      <c r="H85" s="32"/>
      <c r="I85" s="32"/>
      <c r="J85" s="32"/>
    </row>
    <row r="86">
      <c r="A86" s="31"/>
      <c r="B86" s="32"/>
      <c r="C86" s="35" t="str">
        <f t="array" ref="C86">IF(INDEX(B:B,ROW())="","",VLOOKUP(INDEX(B:B,ROW()),'Produtos Bazar'!$A$8:$K$107,2,FALSE))</f>
        <v/>
      </c>
      <c r="D86" s="37"/>
      <c r="E86" s="43" t="str">
        <f t="array" ref="E86">IF(INDEX(B:B,ROW())="","",VLOOKUP(INDEX(B:B,ROW()),'Produtos Bazar'!$A$8:$K$107,11,FALSE))</f>
        <v/>
      </c>
      <c r="F86" s="43" t="str">
        <f t="shared" si="1"/>
        <v/>
      </c>
      <c r="G86" s="32"/>
      <c r="H86" s="32"/>
      <c r="I86" s="32"/>
      <c r="J86" s="32"/>
    </row>
    <row r="87">
      <c r="A87" s="31"/>
      <c r="B87" s="32"/>
      <c r="C87" s="35" t="str">
        <f t="array" ref="C87">IF(INDEX(B:B,ROW())="","",VLOOKUP(INDEX(B:B,ROW()),'Produtos Bazar'!$A$8:$K$107,2,FALSE))</f>
        <v/>
      </c>
      <c r="D87" s="37"/>
      <c r="E87" s="43" t="str">
        <f t="array" ref="E87">IF(INDEX(B:B,ROW())="","",VLOOKUP(INDEX(B:B,ROW()),'Produtos Bazar'!$A$8:$K$107,11,FALSE))</f>
        <v/>
      </c>
      <c r="F87" s="43" t="str">
        <f t="shared" si="1"/>
        <v/>
      </c>
      <c r="G87" s="32"/>
      <c r="H87" s="32"/>
      <c r="I87" s="32"/>
      <c r="J87" s="32"/>
    </row>
    <row r="88">
      <c r="A88" s="31"/>
      <c r="B88" s="32"/>
      <c r="C88" s="35" t="str">
        <f t="array" ref="C88">IF(INDEX(B:B,ROW())="","",VLOOKUP(INDEX(B:B,ROW()),'Produtos Bazar'!$A$8:$K$107,2,FALSE))</f>
        <v/>
      </c>
      <c r="D88" s="37"/>
      <c r="E88" s="43" t="str">
        <f t="array" ref="E88">IF(INDEX(B:B,ROW())="","",VLOOKUP(INDEX(B:B,ROW()),'Produtos Bazar'!$A$8:$K$107,11,FALSE))</f>
        <v/>
      </c>
      <c r="F88" s="43" t="str">
        <f t="shared" si="1"/>
        <v/>
      </c>
      <c r="G88" s="32"/>
      <c r="H88" s="32"/>
      <c r="I88" s="32"/>
      <c r="J88" s="32"/>
    </row>
    <row r="89">
      <c r="A89" s="31"/>
      <c r="B89" s="32"/>
      <c r="C89" s="35" t="str">
        <f t="array" ref="C89">IF(INDEX(B:B,ROW())="","",VLOOKUP(INDEX(B:B,ROW()),'Produtos Bazar'!$A$8:$K$107,2,FALSE))</f>
        <v/>
      </c>
      <c r="D89" s="37"/>
      <c r="E89" s="43" t="str">
        <f t="array" ref="E89">IF(INDEX(B:B,ROW())="","",VLOOKUP(INDEX(B:B,ROW()),'Produtos Bazar'!$A$8:$K$107,11,FALSE))</f>
        <v/>
      </c>
      <c r="F89" s="43" t="str">
        <f t="shared" si="1"/>
        <v/>
      </c>
      <c r="G89" s="32"/>
      <c r="H89" s="32"/>
      <c r="I89" s="32"/>
      <c r="J89" s="32"/>
    </row>
    <row r="90">
      <c r="A90" s="31"/>
      <c r="B90" s="32"/>
      <c r="C90" s="35" t="str">
        <f t="array" ref="C90">IF(INDEX(B:B,ROW())="","",VLOOKUP(INDEX(B:B,ROW()),'Produtos Bazar'!$A$8:$K$107,2,FALSE))</f>
        <v/>
      </c>
      <c r="D90" s="37"/>
      <c r="E90" s="43" t="str">
        <f t="array" ref="E90">IF(INDEX(B:B,ROW())="","",VLOOKUP(INDEX(B:B,ROW()),'Produtos Bazar'!$A$8:$K$107,11,FALSE))</f>
        <v/>
      </c>
      <c r="F90" s="43" t="str">
        <f t="shared" si="1"/>
        <v/>
      </c>
      <c r="G90" s="32"/>
      <c r="H90" s="32"/>
      <c r="I90" s="32"/>
      <c r="J90" s="32"/>
    </row>
    <row r="91">
      <c r="A91" s="31"/>
      <c r="B91" s="32"/>
      <c r="C91" s="35" t="str">
        <f t="array" ref="C91">IF(INDEX(B:B,ROW())="","",VLOOKUP(INDEX(B:B,ROW()),'Produtos Bazar'!$A$8:$K$107,2,FALSE))</f>
        <v/>
      </c>
      <c r="D91" s="37"/>
      <c r="E91" s="43" t="str">
        <f t="array" ref="E91">IF(INDEX(B:B,ROW())="","",VLOOKUP(INDEX(B:B,ROW()),'Produtos Bazar'!$A$8:$K$107,11,FALSE))</f>
        <v/>
      </c>
      <c r="F91" s="43" t="str">
        <f t="shared" si="1"/>
        <v/>
      </c>
      <c r="G91" s="32"/>
      <c r="H91" s="32"/>
      <c r="I91" s="32"/>
      <c r="J91" s="32"/>
    </row>
    <row r="92">
      <c r="A92" s="31"/>
      <c r="B92" s="32"/>
      <c r="C92" s="35" t="str">
        <f t="array" ref="C92">IF(INDEX(B:B,ROW())="","",VLOOKUP(INDEX(B:B,ROW()),'Produtos Bazar'!$A$8:$K$107,2,FALSE))</f>
        <v/>
      </c>
      <c r="D92" s="37"/>
      <c r="E92" s="43" t="str">
        <f t="array" ref="E92">IF(INDEX(B:B,ROW())="","",VLOOKUP(INDEX(B:B,ROW()),'Produtos Bazar'!$A$8:$K$107,11,FALSE))</f>
        <v/>
      </c>
      <c r="F92" s="43" t="str">
        <f t="shared" si="1"/>
        <v/>
      </c>
      <c r="G92" s="32"/>
      <c r="H92" s="32"/>
      <c r="I92" s="32"/>
      <c r="J92" s="32"/>
    </row>
    <row r="93">
      <c r="A93" s="31"/>
      <c r="B93" s="32"/>
      <c r="C93" s="35" t="str">
        <f t="array" ref="C93">IF(INDEX(B:B,ROW())="","",VLOOKUP(INDEX(B:B,ROW()),'Produtos Bazar'!$A$8:$K$107,2,FALSE))</f>
        <v/>
      </c>
      <c r="D93" s="37"/>
      <c r="E93" s="43" t="str">
        <f t="array" ref="E93">IF(INDEX(B:B,ROW())="","",VLOOKUP(INDEX(B:B,ROW()),'Produtos Bazar'!$A$8:$K$107,11,FALSE))</f>
        <v/>
      </c>
      <c r="F93" s="43" t="str">
        <f t="shared" si="1"/>
        <v/>
      </c>
      <c r="G93" s="32"/>
      <c r="H93" s="32"/>
      <c r="I93" s="32"/>
      <c r="J93" s="32"/>
    </row>
    <row r="94">
      <c r="A94" s="31"/>
      <c r="B94" s="32"/>
      <c r="C94" s="35" t="str">
        <f t="array" ref="C94">IF(INDEX(B:B,ROW())="","",VLOOKUP(INDEX(B:B,ROW()),'Produtos Bazar'!$A$8:$K$107,2,FALSE))</f>
        <v/>
      </c>
      <c r="D94" s="37"/>
      <c r="E94" s="43" t="str">
        <f t="array" ref="E94">IF(INDEX(B:B,ROW())="","",VLOOKUP(INDEX(B:B,ROW()),'Produtos Bazar'!$A$8:$K$107,11,FALSE))</f>
        <v/>
      </c>
      <c r="F94" s="43" t="str">
        <f t="shared" si="1"/>
        <v/>
      </c>
      <c r="G94" s="32"/>
      <c r="H94" s="32"/>
      <c r="I94" s="32"/>
      <c r="J94" s="32"/>
    </row>
    <row r="95">
      <c r="A95" s="31"/>
      <c r="B95" s="32"/>
      <c r="C95" s="35" t="str">
        <f t="array" ref="C95">IF(INDEX(B:B,ROW())="","",VLOOKUP(INDEX(B:B,ROW()),'Produtos Bazar'!$A$8:$K$107,2,FALSE))</f>
        <v/>
      </c>
      <c r="D95" s="37"/>
      <c r="E95" s="43" t="str">
        <f t="array" ref="E95">IF(INDEX(B:B,ROW())="","",VLOOKUP(INDEX(B:B,ROW()),'Produtos Bazar'!$A$8:$K$107,11,FALSE))</f>
        <v/>
      </c>
      <c r="F95" s="43" t="str">
        <f t="shared" si="1"/>
        <v/>
      </c>
      <c r="G95" s="32"/>
      <c r="H95" s="32"/>
      <c r="I95" s="32"/>
      <c r="J95" s="32"/>
    </row>
    <row r="96">
      <c r="A96" s="31"/>
      <c r="B96" s="32"/>
      <c r="C96" s="35" t="str">
        <f t="array" ref="C96">IF(INDEX(B:B,ROW())="","",VLOOKUP(INDEX(B:B,ROW()),'Produtos Bazar'!$A$8:$K$107,2,FALSE))</f>
        <v/>
      </c>
      <c r="D96" s="37"/>
      <c r="E96" s="43" t="str">
        <f t="array" ref="E96">IF(INDEX(B:B,ROW())="","",VLOOKUP(INDEX(B:B,ROW()),'Produtos Bazar'!$A$8:$K$107,11,FALSE))</f>
        <v/>
      </c>
      <c r="F96" s="43" t="str">
        <f t="shared" si="1"/>
        <v/>
      </c>
      <c r="G96" s="32"/>
      <c r="H96" s="32"/>
      <c r="I96" s="32"/>
      <c r="J96" s="32"/>
    </row>
    <row r="97">
      <c r="A97" s="31"/>
      <c r="B97" s="32"/>
      <c r="C97" s="35" t="str">
        <f t="array" ref="C97">IF(INDEX(B:B,ROW())="","",VLOOKUP(INDEX(B:B,ROW()),'Produtos Bazar'!$A$8:$K$107,2,FALSE))</f>
        <v/>
      </c>
      <c r="D97" s="37"/>
      <c r="E97" s="43" t="str">
        <f t="array" ref="E97">IF(INDEX(B:B,ROW())="","",VLOOKUP(INDEX(B:B,ROW()),'Produtos Bazar'!$A$8:$K$107,11,FALSE))</f>
        <v/>
      </c>
      <c r="F97" s="43" t="str">
        <f t="shared" si="1"/>
        <v/>
      </c>
      <c r="G97" s="32"/>
      <c r="H97" s="32"/>
      <c r="I97" s="32"/>
      <c r="J97" s="32"/>
    </row>
    <row r="98">
      <c r="A98" s="31"/>
      <c r="B98" s="32"/>
      <c r="C98" s="35" t="str">
        <f t="array" ref="C98">IF(INDEX(B:B,ROW())="","",VLOOKUP(INDEX(B:B,ROW()),'Produtos Bazar'!$A$8:$K$107,2,FALSE))</f>
        <v/>
      </c>
      <c r="D98" s="37"/>
      <c r="E98" s="43" t="str">
        <f t="array" ref="E98">IF(INDEX(B:B,ROW())="","",VLOOKUP(INDEX(B:B,ROW()),'Produtos Bazar'!$A$8:$K$107,11,FALSE))</f>
        <v/>
      </c>
      <c r="F98" s="43" t="str">
        <f t="shared" si="1"/>
        <v/>
      </c>
      <c r="G98" s="32"/>
      <c r="H98" s="32"/>
      <c r="I98" s="32"/>
      <c r="J98" s="32"/>
    </row>
    <row r="99">
      <c r="A99" s="31"/>
      <c r="B99" s="32"/>
      <c r="C99" s="35" t="str">
        <f t="array" ref="C99">IF(INDEX(B:B,ROW())="","",VLOOKUP(INDEX(B:B,ROW()),'Produtos Bazar'!$A$8:$K$107,2,FALSE))</f>
        <v/>
      </c>
      <c r="D99" s="37"/>
      <c r="E99" s="43" t="str">
        <f t="array" ref="E99">IF(INDEX(B:B,ROW())="","",VLOOKUP(INDEX(B:B,ROW()),'Produtos Bazar'!$A$8:$K$107,11,FALSE))</f>
        <v/>
      </c>
      <c r="F99" s="43" t="str">
        <f t="shared" si="1"/>
        <v/>
      </c>
      <c r="G99" s="32"/>
      <c r="H99" s="32"/>
      <c r="I99" s="32"/>
      <c r="J99" s="32"/>
    </row>
    <row r="100">
      <c r="A100" s="31"/>
      <c r="B100" s="32"/>
      <c r="C100" s="35" t="str">
        <f t="array" ref="C100">IF(INDEX(B:B,ROW())="","",VLOOKUP(INDEX(B:B,ROW()),'Produtos Bazar'!$A$8:$K$107,2,FALSE))</f>
        <v/>
      </c>
      <c r="D100" s="37"/>
      <c r="E100" s="43" t="str">
        <f t="array" ref="E100">IF(INDEX(B:B,ROW())="","",VLOOKUP(INDEX(B:B,ROW()),'Produtos Bazar'!$A$8:$K$107,11,FALSE))</f>
        <v/>
      </c>
      <c r="F100" s="43" t="str">
        <f t="shared" si="1"/>
        <v/>
      </c>
      <c r="G100" s="32"/>
      <c r="H100" s="32"/>
      <c r="I100" s="32"/>
      <c r="J100" s="32"/>
    </row>
    <row r="101">
      <c r="A101" s="31"/>
      <c r="B101" s="32"/>
      <c r="C101" s="35" t="str">
        <f t="array" ref="C101">IF(INDEX(B:B,ROW())="","",VLOOKUP(INDEX(B:B,ROW()),'Produtos Bazar'!$A$8:$K$107,2,FALSE))</f>
        <v/>
      </c>
      <c r="D101" s="37"/>
      <c r="E101" s="43" t="str">
        <f t="array" ref="E101">IF(INDEX(B:B,ROW())="","",VLOOKUP(INDEX(B:B,ROW()),'Produtos Bazar'!$A$8:$K$107,11,FALSE))</f>
        <v/>
      </c>
      <c r="F101" s="43" t="str">
        <f t="shared" si="1"/>
        <v/>
      </c>
      <c r="G101" s="32"/>
      <c r="H101" s="32"/>
      <c r="I101" s="32"/>
      <c r="J101" s="32"/>
    </row>
    <row r="102">
      <c r="A102" s="31"/>
      <c r="B102" s="32"/>
      <c r="C102" s="35" t="str">
        <f t="array" ref="C102">IF(INDEX(B:B,ROW())="","",VLOOKUP(INDEX(B:B,ROW()),'Produtos Bazar'!$A$8:$K$107,2,FALSE))</f>
        <v/>
      </c>
      <c r="D102" s="37"/>
      <c r="E102" s="43" t="str">
        <f t="array" ref="E102">IF(INDEX(B:B,ROW())="","",VLOOKUP(INDEX(B:B,ROW()),'Produtos Bazar'!$A$8:$K$107,11,FALSE))</f>
        <v/>
      </c>
      <c r="F102" s="43" t="str">
        <f t="shared" si="1"/>
        <v/>
      </c>
      <c r="G102" s="32"/>
      <c r="H102" s="32"/>
      <c r="I102" s="32"/>
      <c r="J102" s="32"/>
    </row>
    <row r="103">
      <c r="A103" s="31"/>
      <c r="B103" s="32"/>
      <c r="C103" s="35" t="str">
        <f t="array" ref="C103">IF(INDEX(B:B,ROW())="","",VLOOKUP(INDEX(B:B,ROW()),'Produtos Bazar'!$A$8:$K$107,2,FALSE))</f>
        <v/>
      </c>
      <c r="D103" s="37"/>
      <c r="E103" s="43" t="str">
        <f t="array" ref="E103">IF(INDEX(B:B,ROW())="","",VLOOKUP(INDEX(B:B,ROW()),'Produtos Bazar'!$A$8:$K$107,11,FALSE))</f>
        <v/>
      </c>
      <c r="F103" s="43" t="str">
        <f t="shared" si="1"/>
        <v/>
      </c>
      <c r="G103" s="32"/>
      <c r="H103" s="32"/>
      <c r="I103" s="32"/>
      <c r="J103" s="32"/>
    </row>
    <row r="104">
      <c r="A104" s="31"/>
      <c r="B104" s="32"/>
      <c r="C104" s="35" t="str">
        <f t="array" ref="C104">IF(INDEX(B:B,ROW())="","",VLOOKUP(INDEX(B:B,ROW()),'Produtos Bazar'!$A$8:$K$107,2,FALSE))</f>
        <v/>
      </c>
      <c r="D104" s="37"/>
      <c r="E104" s="43" t="str">
        <f t="array" ref="E104">IF(INDEX(B:B,ROW())="","",VLOOKUP(INDEX(B:B,ROW()),'Produtos Bazar'!$A$8:$K$107,11,FALSE))</f>
        <v/>
      </c>
      <c r="F104" s="43" t="str">
        <f t="shared" si="1"/>
        <v/>
      </c>
      <c r="G104" s="32"/>
      <c r="H104" s="32"/>
      <c r="I104" s="32"/>
      <c r="J104" s="32"/>
    </row>
    <row r="105">
      <c r="A105" s="31"/>
      <c r="B105" s="32"/>
      <c r="C105" s="35" t="str">
        <f t="array" ref="C105">IF(INDEX(B:B,ROW())="","",VLOOKUP(INDEX(B:B,ROW()),'Produtos Bazar'!$A$8:$K$107,2,FALSE))</f>
        <v/>
      </c>
      <c r="D105" s="37"/>
      <c r="E105" s="43" t="str">
        <f t="array" ref="E105">IF(INDEX(B:B,ROW())="","",VLOOKUP(INDEX(B:B,ROW()),'Produtos Bazar'!$A$8:$K$107,11,FALSE))</f>
        <v/>
      </c>
      <c r="F105" s="43" t="str">
        <f t="shared" si="1"/>
        <v/>
      </c>
      <c r="G105" s="32"/>
      <c r="H105" s="32"/>
      <c r="I105" s="32"/>
      <c r="J105" s="32"/>
    </row>
    <row r="106">
      <c r="A106" s="31"/>
      <c r="B106" s="32"/>
      <c r="C106" s="35" t="str">
        <f t="array" ref="C106">IF(INDEX(B:B,ROW())="","",VLOOKUP(INDEX(B:B,ROW()),'Produtos Bazar'!$A$8:$K$107,2,FALSE))</f>
        <v/>
      </c>
      <c r="D106" s="37"/>
      <c r="E106" s="43" t="str">
        <f t="array" ref="E106">IF(INDEX(B:B,ROW())="","",VLOOKUP(INDEX(B:B,ROW()),'Produtos Bazar'!$A$8:$K$107,11,FALSE))</f>
        <v/>
      </c>
      <c r="F106" s="43" t="str">
        <f t="shared" si="1"/>
        <v/>
      </c>
      <c r="G106" s="32"/>
      <c r="H106" s="32"/>
      <c r="I106" s="32"/>
      <c r="J106" s="32"/>
    </row>
    <row r="107">
      <c r="A107" s="31"/>
      <c r="B107" s="32"/>
      <c r="C107" s="35" t="str">
        <f t="array" ref="C107">IF(INDEX(B:B,ROW())="","",VLOOKUP(INDEX(B:B,ROW()),'Produtos Bazar'!$A$8:$K$107,2,FALSE))</f>
        <v/>
      </c>
      <c r="D107" s="37"/>
      <c r="E107" s="43" t="str">
        <f t="array" ref="E107">IF(INDEX(B:B,ROW())="","",VLOOKUP(INDEX(B:B,ROW()),'Produtos Bazar'!$A$8:$K$107,11,FALSE))</f>
        <v/>
      </c>
      <c r="F107" s="43" t="str">
        <f t="shared" si="1"/>
        <v/>
      </c>
      <c r="G107" s="32"/>
      <c r="H107" s="32"/>
      <c r="I107" s="32"/>
      <c r="J107" s="32"/>
    </row>
    <row r="108">
      <c r="A108" s="31"/>
      <c r="B108" s="32"/>
      <c r="C108" s="35" t="str">
        <f t="array" ref="C108">IF(INDEX(B:B,ROW())="","",VLOOKUP(INDEX(B:B,ROW()),'Produtos Bazar'!$A$8:$K$107,2,FALSE))</f>
        <v/>
      </c>
      <c r="D108" s="37"/>
      <c r="E108" s="43" t="str">
        <f t="array" ref="E108">IF(INDEX(B:B,ROW())="","",VLOOKUP(INDEX(B:B,ROW()),'Produtos Bazar'!$A$8:$K$107,11,FALSE))</f>
        <v/>
      </c>
      <c r="F108" s="43" t="str">
        <f t="shared" si="1"/>
        <v/>
      </c>
      <c r="G108" s="32"/>
      <c r="H108" s="32"/>
      <c r="I108" s="32"/>
      <c r="J108" s="32"/>
    </row>
    <row r="109">
      <c r="A109" s="31"/>
      <c r="B109" s="32"/>
      <c r="C109" s="35" t="str">
        <f t="array" ref="C109">IF(INDEX(B:B,ROW())="","",VLOOKUP(INDEX(B:B,ROW()),'Produtos Bazar'!$A$8:$K$107,2,FALSE))</f>
        <v/>
      </c>
      <c r="D109" s="37"/>
      <c r="E109" s="43" t="str">
        <f t="array" ref="E109">IF(INDEX(B:B,ROW())="","",VLOOKUP(INDEX(B:B,ROW()),'Produtos Bazar'!$A$8:$K$107,11,FALSE))</f>
        <v/>
      </c>
      <c r="F109" s="43" t="str">
        <f t="shared" si="1"/>
        <v/>
      </c>
      <c r="G109" s="32"/>
      <c r="H109" s="32"/>
      <c r="I109" s="32"/>
      <c r="J109" s="32"/>
    </row>
    <row r="110">
      <c r="A110" s="31"/>
      <c r="B110" s="32"/>
      <c r="C110" s="35" t="str">
        <f t="array" ref="C110">IF(INDEX(B:B,ROW())="","",VLOOKUP(INDEX(B:B,ROW()),'Produtos Bazar'!$A$8:$K$107,2,FALSE))</f>
        <v/>
      </c>
      <c r="D110" s="37"/>
      <c r="E110" s="43" t="str">
        <f t="array" ref="E110">IF(INDEX(B:B,ROW())="","",VLOOKUP(INDEX(B:B,ROW()),'Produtos Bazar'!$A$8:$K$107,11,FALSE))</f>
        <v/>
      </c>
      <c r="F110" s="43" t="str">
        <f t="shared" si="1"/>
        <v/>
      </c>
      <c r="G110" s="32"/>
      <c r="H110" s="32"/>
      <c r="I110" s="32"/>
      <c r="J110" s="32"/>
    </row>
    <row r="111">
      <c r="A111" s="31"/>
      <c r="B111" s="32"/>
      <c r="C111" s="35" t="str">
        <f t="array" ref="C111">IF(INDEX(B:B,ROW())="","",VLOOKUP(INDEX(B:B,ROW()),'Produtos Bazar'!$A$8:$K$107,2,FALSE))</f>
        <v/>
      </c>
      <c r="D111" s="37"/>
      <c r="E111" s="43" t="str">
        <f t="array" ref="E111">IF(INDEX(B:B,ROW())="","",VLOOKUP(INDEX(B:B,ROW()),'Produtos Bazar'!$A$8:$K$107,11,FALSE))</f>
        <v/>
      </c>
      <c r="F111" s="43" t="str">
        <f t="shared" si="1"/>
        <v/>
      </c>
      <c r="G111" s="32"/>
      <c r="H111" s="32"/>
      <c r="I111" s="32"/>
      <c r="J111" s="32"/>
    </row>
    <row r="112">
      <c r="A112" s="31"/>
      <c r="B112" s="32"/>
      <c r="C112" s="35" t="str">
        <f t="array" ref="C112">IF(INDEX(B:B,ROW())="","",VLOOKUP(INDEX(B:B,ROW()),'Produtos Bazar'!$A$8:$K$107,2,FALSE))</f>
        <v/>
      </c>
      <c r="D112" s="37"/>
      <c r="E112" s="43" t="str">
        <f t="array" ref="E112">IF(INDEX(B:B,ROW())="","",VLOOKUP(INDEX(B:B,ROW()),'Produtos Bazar'!$A$8:$K$107,11,FALSE))</f>
        <v/>
      </c>
      <c r="F112" s="43" t="str">
        <f t="shared" si="1"/>
        <v/>
      </c>
      <c r="G112" s="32"/>
      <c r="H112" s="32"/>
      <c r="I112" s="32"/>
      <c r="J112" s="32"/>
    </row>
    <row r="113">
      <c r="A113" s="31"/>
      <c r="B113" s="32"/>
      <c r="C113" s="35" t="str">
        <f t="array" ref="C113">IF(INDEX(B:B,ROW())="","",VLOOKUP(INDEX(B:B,ROW()),'Produtos Bazar'!$A$8:$K$107,2,FALSE))</f>
        <v/>
      </c>
      <c r="D113" s="37"/>
      <c r="E113" s="43" t="str">
        <f t="array" ref="E113">IF(INDEX(B:B,ROW())="","",VLOOKUP(INDEX(B:B,ROW()),'Produtos Bazar'!$A$8:$K$107,11,FALSE))</f>
        <v/>
      </c>
      <c r="F113" s="43" t="str">
        <f t="shared" si="1"/>
        <v/>
      </c>
      <c r="G113" s="32"/>
      <c r="H113" s="32"/>
      <c r="I113" s="32"/>
      <c r="J113" s="32"/>
    </row>
    <row r="114">
      <c r="A114" s="31"/>
      <c r="B114" s="32"/>
      <c r="C114" s="35" t="str">
        <f t="array" ref="C114">IF(INDEX(B:B,ROW())="","",VLOOKUP(INDEX(B:B,ROW()),'Produtos Bazar'!$A$8:$K$107,2,FALSE))</f>
        <v/>
      </c>
      <c r="D114" s="37"/>
      <c r="E114" s="43" t="str">
        <f t="array" ref="E114">IF(INDEX(B:B,ROW())="","",VLOOKUP(INDEX(B:B,ROW()),'Produtos Bazar'!$A$8:$K$107,11,FALSE))</f>
        <v/>
      </c>
      <c r="F114" s="43" t="str">
        <f t="shared" si="1"/>
        <v/>
      </c>
      <c r="G114" s="32"/>
      <c r="H114" s="32"/>
      <c r="I114" s="32"/>
      <c r="J114" s="32"/>
    </row>
    <row r="115">
      <c r="A115" s="31"/>
      <c r="B115" s="32"/>
      <c r="C115" s="35" t="str">
        <f t="array" ref="C115">IF(INDEX(B:B,ROW())="","",VLOOKUP(INDEX(B:B,ROW()),'Produtos Bazar'!$A$8:$K$107,2,FALSE))</f>
        <v/>
      </c>
      <c r="D115" s="37"/>
      <c r="E115" s="43" t="str">
        <f t="array" ref="E115">IF(INDEX(B:B,ROW())="","",VLOOKUP(INDEX(B:B,ROW()),'Produtos Bazar'!$A$8:$K$107,11,FALSE))</f>
        <v/>
      </c>
      <c r="F115" s="43" t="str">
        <f t="shared" si="1"/>
        <v/>
      </c>
      <c r="G115" s="32"/>
      <c r="H115" s="32"/>
      <c r="I115" s="32"/>
      <c r="J115" s="32"/>
    </row>
    <row r="116">
      <c r="A116" s="31"/>
      <c r="B116" s="32"/>
      <c r="C116" s="35" t="str">
        <f t="array" ref="C116">IF(INDEX(B:B,ROW())="","",VLOOKUP(INDEX(B:B,ROW()),'Produtos Bazar'!$A$8:$K$107,2,FALSE))</f>
        <v/>
      </c>
      <c r="D116" s="37"/>
      <c r="E116" s="43" t="str">
        <f t="array" ref="E116">IF(INDEX(B:B,ROW())="","",VLOOKUP(INDEX(B:B,ROW()),'Produtos Bazar'!$A$8:$K$107,11,FALSE))</f>
        <v/>
      </c>
      <c r="F116" s="43" t="str">
        <f t="shared" si="1"/>
        <v/>
      </c>
      <c r="G116" s="32"/>
      <c r="H116" s="32"/>
      <c r="I116" s="32"/>
      <c r="J116" s="32"/>
    </row>
    <row r="117">
      <c r="A117" s="31"/>
      <c r="B117" s="32"/>
      <c r="C117" s="35" t="str">
        <f t="array" ref="C117">IF(INDEX(B:B,ROW())="","",VLOOKUP(INDEX(B:B,ROW()),'Produtos Bazar'!$A$8:$K$107,2,FALSE))</f>
        <v/>
      </c>
      <c r="D117" s="37"/>
      <c r="E117" s="43" t="str">
        <f t="array" ref="E117">IF(INDEX(B:B,ROW())="","",VLOOKUP(INDEX(B:B,ROW()),'Produtos Bazar'!$A$8:$K$107,11,FALSE))</f>
        <v/>
      </c>
      <c r="F117" s="43" t="str">
        <f t="shared" si="1"/>
        <v/>
      </c>
      <c r="G117" s="32"/>
      <c r="H117" s="32"/>
      <c r="I117" s="32"/>
      <c r="J117" s="32"/>
    </row>
    <row r="118">
      <c r="A118" s="31"/>
      <c r="B118" s="32"/>
      <c r="C118" s="35" t="str">
        <f t="array" ref="C118">IF(INDEX(B:B,ROW())="","",VLOOKUP(INDEX(B:B,ROW()),'Produtos Bazar'!$A$8:$K$107,2,FALSE))</f>
        <v/>
      </c>
      <c r="D118" s="37"/>
      <c r="E118" s="43" t="str">
        <f t="array" ref="E118">IF(INDEX(B:B,ROW())="","",VLOOKUP(INDEX(B:B,ROW()),'Produtos Bazar'!$A$8:$K$107,11,FALSE))</f>
        <v/>
      </c>
      <c r="F118" s="43" t="str">
        <f t="shared" si="1"/>
        <v/>
      </c>
      <c r="G118" s="32"/>
      <c r="H118" s="32"/>
      <c r="I118" s="32"/>
      <c r="J118" s="32"/>
    </row>
    <row r="119">
      <c r="A119" s="31"/>
      <c r="B119" s="32"/>
      <c r="C119" s="35" t="str">
        <f t="array" ref="C119">IF(INDEX(B:B,ROW())="","",VLOOKUP(INDEX(B:B,ROW()),'Produtos Bazar'!$A$8:$K$107,2,FALSE))</f>
        <v/>
      </c>
      <c r="D119" s="37"/>
      <c r="E119" s="43" t="str">
        <f t="array" ref="E119">IF(INDEX(B:B,ROW())="","",VLOOKUP(INDEX(B:B,ROW()),'Produtos Bazar'!$A$8:$K$107,11,FALSE))</f>
        <v/>
      </c>
      <c r="F119" s="43" t="str">
        <f t="shared" si="1"/>
        <v/>
      </c>
      <c r="G119" s="32"/>
      <c r="H119" s="32"/>
      <c r="I119" s="32"/>
      <c r="J119" s="32"/>
    </row>
    <row r="120">
      <c r="A120" s="31"/>
      <c r="B120" s="32"/>
      <c r="C120" s="35" t="str">
        <f t="array" ref="C120">IF(INDEX(B:B,ROW())="","",VLOOKUP(INDEX(B:B,ROW()),'Produtos Bazar'!$A$8:$K$107,2,FALSE))</f>
        <v/>
      </c>
      <c r="D120" s="37"/>
      <c r="E120" s="43" t="str">
        <f t="array" ref="E120">IF(INDEX(B:B,ROW())="","",VLOOKUP(INDEX(B:B,ROW()),'Produtos Bazar'!$A$8:$K$107,11,FALSE))</f>
        <v/>
      </c>
      <c r="F120" s="43" t="str">
        <f t="shared" si="1"/>
        <v/>
      </c>
      <c r="G120" s="32"/>
      <c r="H120" s="32"/>
      <c r="I120" s="32"/>
      <c r="J120" s="32"/>
    </row>
    <row r="121">
      <c r="A121" s="31"/>
      <c r="B121" s="32"/>
      <c r="C121" s="35" t="str">
        <f t="array" ref="C121">IF(INDEX(B:B,ROW())="","",VLOOKUP(INDEX(B:B,ROW()),'Produtos Bazar'!$A$8:$K$107,2,FALSE))</f>
        <v/>
      </c>
      <c r="D121" s="37"/>
      <c r="E121" s="43" t="str">
        <f t="array" ref="E121">IF(INDEX(B:B,ROW())="","",VLOOKUP(INDEX(B:B,ROW()),'Produtos Bazar'!$A$8:$K$107,11,FALSE))</f>
        <v/>
      </c>
      <c r="F121" s="43" t="str">
        <f t="shared" si="1"/>
        <v/>
      </c>
      <c r="G121" s="32"/>
      <c r="H121" s="32"/>
      <c r="I121" s="32"/>
      <c r="J121" s="32"/>
    </row>
    <row r="122">
      <c r="A122" s="31"/>
      <c r="B122" s="32"/>
      <c r="C122" s="35" t="str">
        <f t="array" ref="C122">IF(INDEX(B:B,ROW())="","",VLOOKUP(INDEX(B:B,ROW()),'Produtos Bazar'!$A$8:$K$107,2,FALSE))</f>
        <v/>
      </c>
      <c r="D122" s="37"/>
      <c r="E122" s="43" t="str">
        <f t="array" ref="E122">IF(INDEX(B:B,ROW())="","",VLOOKUP(INDEX(B:B,ROW()),'Produtos Bazar'!$A$8:$K$107,11,FALSE))</f>
        <v/>
      </c>
      <c r="F122" s="43" t="str">
        <f t="shared" si="1"/>
        <v/>
      </c>
      <c r="G122" s="32"/>
      <c r="H122" s="32"/>
      <c r="I122" s="32"/>
      <c r="J122" s="32"/>
    </row>
    <row r="123">
      <c r="A123" s="31"/>
      <c r="B123" s="32"/>
      <c r="C123" s="35" t="str">
        <f t="array" ref="C123">IF(INDEX(B:B,ROW())="","",VLOOKUP(INDEX(B:B,ROW()),'Produtos Bazar'!$A$8:$K$107,2,FALSE))</f>
        <v/>
      </c>
      <c r="D123" s="37"/>
      <c r="E123" s="43" t="str">
        <f t="array" ref="E123">IF(INDEX(B:B,ROW())="","",VLOOKUP(INDEX(B:B,ROW()),'Produtos Bazar'!$A$8:$K$107,11,FALSE))</f>
        <v/>
      </c>
      <c r="F123" s="43" t="str">
        <f t="shared" si="1"/>
        <v/>
      </c>
      <c r="G123" s="32"/>
      <c r="H123" s="32"/>
      <c r="I123" s="32"/>
      <c r="J123" s="32"/>
    </row>
    <row r="124">
      <c r="A124" s="31"/>
      <c r="B124" s="32"/>
      <c r="C124" s="35" t="str">
        <f t="array" ref="C124">IF(INDEX(B:B,ROW())="","",VLOOKUP(INDEX(B:B,ROW()),'Produtos Bazar'!$A$8:$K$107,2,FALSE))</f>
        <v/>
      </c>
      <c r="D124" s="37"/>
      <c r="E124" s="43" t="str">
        <f t="array" ref="E124">IF(INDEX(B:B,ROW())="","",VLOOKUP(INDEX(B:B,ROW()),'Produtos Bazar'!$A$8:$K$107,11,FALSE))</f>
        <v/>
      </c>
      <c r="F124" s="43" t="str">
        <f t="shared" si="1"/>
        <v/>
      </c>
      <c r="G124" s="32"/>
      <c r="H124" s="32"/>
      <c r="I124" s="32"/>
      <c r="J124" s="32"/>
    </row>
    <row r="125">
      <c r="A125" s="31"/>
      <c r="B125" s="32"/>
      <c r="C125" s="35" t="str">
        <f t="array" ref="C125">IF(INDEX(B:B,ROW())="","",VLOOKUP(INDEX(B:B,ROW()),'Produtos Bazar'!$A$8:$K$107,2,FALSE))</f>
        <v/>
      </c>
      <c r="D125" s="37"/>
      <c r="E125" s="43" t="str">
        <f t="array" ref="E125">IF(INDEX(B:B,ROW())="","",VLOOKUP(INDEX(B:B,ROW()),'Produtos Bazar'!$A$8:$K$107,11,FALSE))</f>
        <v/>
      </c>
      <c r="F125" s="43" t="str">
        <f t="shared" si="1"/>
        <v/>
      </c>
      <c r="G125" s="32"/>
      <c r="H125" s="32"/>
      <c r="I125" s="32"/>
      <c r="J125" s="32"/>
    </row>
    <row r="126">
      <c r="A126" s="31"/>
      <c r="B126" s="32"/>
      <c r="C126" s="35" t="str">
        <f t="array" ref="C126">IF(INDEX(B:B,ROW())="","",VLOOKUP(INDEX(B:B,ROW()),'Produtos Bazar'!$A$8:$K$107,2,FALSE))</f>
        <v/>
      </c>
      <c r="D126" s="37"/>
      <c r="E126" s="43" t="str">
        <f t="array" ref="E126">IF(INDEX(B:B,ROW())="","",VLOOKUP(INDEX(B:B,ROW()),'Produtos Bazar'!$A$8:$K$107,11,FALSE))</f>
        <v/>
      </c>
      <c r="F126" s="43" t="str">
        <f t="shared" si="1"/>
        <v/>
      </c>
      <c r="G126" s="32"/>
      <c r="H126" s="32"/>
      <c r="I126" s="32"/>
      <c r="J126" s="32"/>
    </row>
    <row r="127">
      <c r="A127" s="31"/>
      <c r="B127" s="32"/>
      <c r="C127" s="35" t="str">
        <f t="array" ref="C127">IF(INDEX(B:B,ROW())="","",VLOOKUP(INDEX(B:B,ROW()),'Produtos Bazar'!$A$8:$K$107,2,FALSE))</f>
        <v/>
      </c>
      <c r="D127" s="37"/>
      <c r="E127" s="43" t="str">
        <f t="array" ref="E127">IF(INDEX(B:B,ROW())="","",VLOOKUP(INDEX(B:B,ROW()),'Produtos Bazar'!$A$8:$K$107,11,FALSE))</f>
        <v/>
      </c>
      <c r="F127" s="43" t="str">
        <f t="shared" si="1"/>
        <v/>
      </c>
      <c r="G127" s="32"/>
      <c r="H127" s="32"/>
      <c r="I127" s="32"/>
      <c r="J127" s="32"/>
    </row>
    <row r="128">
      <c r="A128" s="31"/>
      <c r="B128" s="32"/>
      <c r="C128" s="35" t="str">
        <f t="array" ref="C128">IF(INDEX(B:B,ROW())="","",VLOOKUP(INDEX(B:B,ROW()),'Produtos Bazar'!$A$8:$K$107,2,FALSE))</f>
        <v/>
      </c>
      <c r="D128" s="37"/>
      <c r="E128" s="43" t="str">
        <f t="array" ref="E128">IF(INDEX(B:B,ROW())="","",VLOOKUP(INDEX(B:B,ROW()),'Produtos Bazar'!$A$8:$K$107,11,FALSE))</f>
        <v/>
      </c>
      <c r="F128" s="43" t="str">
        <f t="shared" si="1"/>
        <v/>
      </c>
      <c r="G128" s="32"/>
      <c r="H128" s="32"/>
      <c r="I128" s="32"/>
      <c r="J128" s="32"/>
    </row>
    <row r="129">
      <c r="A129" s="31"/>
      <c r="B129" s="32"/>
      <c r="C129" s="35" t="str">
        <f t="array" ref="C129">IF(INDEX(B:B,ROW())="","",VLOOKUP(INDEX(B:B,ROW()),'Produtos Bazar'!$A$8:$K$107,2,FALSE))</f>
        <v/>
      </c>
      <c r="D129" s="37"/>
      <c r="E129" s="43" t="str">
        <f t="array" ref="E129">IF(INDEX(B:B,ROW())="","",VLOOKUP(INDEX(B:B,ROW()),'Produtos Bazar'!$A$8:$K$107,11,FALSE))</f>
        <v/>
      </c>
      <c r="F129" s="43" t="str">
        <f t="shared" si="1"/>
        <v/>
      </c>
      <c r="G129" s="32"/>
      <c r="H129" s="32"/>
      <c r="I129" s="32"/>
      <c r="J129" s="32"/>
    </row>
    <row r="130">
      <c r="A130" s="31"/>
      <c r="B130" s="32"/>
      <c r="C130" s="35" t="str">
        <f t="array" ref="C130">IF(INDEX(B:B,ROW())="","",VLOOKUP(INDEX(B:B,ROW()),'Produtos Bazar'!$A$8:$K$107,2,FALSE))</f>
        <v/>
      </c>
      <c r="D130" s="37"/>
      <c r="E130" s="43" t="str">
        <f t="array" ref="E130">IF(INDEX(B:B,ROW())="","",VLOOKUP(INDEX(B:B,ROW()),'Produtos Bazar'!$A$8:$K$107,11,FALSE))</f>
        <v/>
      </c>
      <c r="F130" s="43" t="str">
        <f t="shared" si="1"/>
        <v/>
      </c>
      <c r="G130" s="32"/>
      <c r="H130" s="32"/>
      <c r="I130" s="32"/>
      <c r="J130" s="32"/>
    </row>
    <row r="131">
      <c r="A131" s="31"/>
      <c r="B131" s="32"/>
      <c r="C131" s="35" t="str">
        <f t="array" ref="C131">IF(INDEX(B:B,ROW())="","",VLOOKUP(INDEX(B:B,ROW()),'Produtos Bazar'!$A$8:$K$107,2,FALSE))</f>
        <v/>
      </c>
      <c r="D131" s="37"/>
      <c r="E131" s="43" t="str">
        <f t="array" ref="E131">IF(INDEX(B:B,ROW())="","",VLOOKUP(INDEX(B:B,ROW()),'Produtos Bazar'!$A$8:$K$107,11,FALSE))</f>
        <v/>
      </c>
      <c r="F131" s="43" t="str">
        <f t="shared" si="1"/>
        <v/>
      </c>
      <c r="G131" s="32"/>
      <c r="H131" s="32"/>
      <c r="I131" s="32"/>
      <c r="J131" s="32"/>
    </row>
    <row r="132">
      <c r="A132" s="31"/>
      <c r="B132" s="32"/>
      <c r="C132" s="35" t="str">
        <f t="array" ref="C132">IF(INDEX(B:B,ROW())="","",VLOOKUP(INDEX(B:B,ROW()),'Produtos Bazar'!$A$8:$K$107,2,FALSE))</f>
        <v/>
      </c>
      <c r="D132" s="37"/>
      <c r="E132" s="43" t="str">
        <f t="array" ref="E132">IF(INDEX(B:B,ROW())="","",VLOOKUP(INDEX(B:B,ROW()),'Produtos Bazar'!$A$8:$K$107,11,FALSE))</f>
        <v/>
      </c>
      <c r="F132" s="43" t="str">
        <f t="shared" si="1"/>
        <v/>
      </c>
      <c r="G132" s="32"/>
      <c r="H132" s="32"/>
      <c r="I132" s="32"/>
      <c r="J132" s="32"/>
    </row>
    <row r="133">
      <c r="A133" s="31"/>
      <c r="B133" s="32"/>
      <c r="C133" s="35" t="str">
        <f t="array" ref="C133">IF(INDEX(B:B,ROW())="","",VLOOKUP(INDEX(B:B,ROW()),'Produtos Bazar'!$A$8:$K$107,2,FALSE))</f>
        <v/>
      </c>
      <c r="D133" s="37"/>
      <c r="E133" s="43" t="str">
        <f t="array" ref="E133">IF(INDEX(B:B,ROW())="","",VLOOKUP(INDEX(B:B,ROW()),'Produtos Bazar'!$A$8:$K$107,11,FALSE))</f>
        <v/>
      </c>
      <c r="F133" s="43" t="str">
        <f t="shared" si="1"/>
        <v/>
      </c>
      <c r="G133" s="32"/>
      <c r="H133" s="32"/>
      <c r="I133" s="32"/>
      <c r="J133" s="32"/>
    </row>
    <row r="134">
      <c r="A134" s="31"/>
      <c r="B134" s="32"/>
      <c r="C134" s="35" t="str">
        <f t="array" ref="C134">IF(INDEX(B:B,ROW())="","",VLOOKUP(INDEX(B:B,ROW()),'Produtos Bazar'!$A$8:$K$107,2,FALSE))</f>
        <v/>
      </c>
      <c r="D134" s="37"/>
      <c r="E134" s="43" t="str">
        <f t="array" ref="E134">IF(INDEX(B:B,ROW())="","",VLOOKUP(INDEX(B:B,ROW()),'Produtos Bazar'!$A$8:$K$107,11,FALSE))</f>
        <v/>
      </c>
      <c r="F134" s="43" t="str">
        <f t="shared" si="1"/>
        <v/>
      </c>
      <c r="G134" s="32"/>
      <c r="H134" s="32"/>
      <c r="I134" s="32"/>
      <c r="J134" s="32"/>
    </row>
    <row r="135">
      <c r="A135" s="31"/>
      <c r="B135" s="32"/>
      <c r="C135" s="35" t="str">
        <f t="array" ref="C135">IF(INDEX(B:B,ROW())="","",VLOOKUP(INDEX(B:B,ROW()),'Produtos Bazar'!$A$8:$K$107,2,FALSE))</f>
        <v/>
      </c>
      <c r="D135" s="37"/>
      <c r="E135" s="43" t="str">
        <f t="array" ref="E135">IF(INDEX(B:B,ROW())="","",VLOOKUP(INDEX(B:B,ROW()),'Produtos Bazar'!$A$8:$K$107,11,FALSE))</f>
        <v/>
      </c>
      <c r="F135" s="43" t="str">
        <f t="shared" si="1"/>
        <v/>
      </c>
      <c r="G135" s="32"/>
      <c r="H135" s="32"/>
      <c r="I135" s="32"/>
      <c r="J135" s="32"/>
    </row>
    <row r="136">
      <c r="A136" s="31"/>
      <c r="B136" s="32"/>
      <c r="C136" s="35" t="str">
        <f t="array" ref="C136">IF(INDEX(B:B,ROW())="","",VLOOKUP(INDEX(B:B,ROW()),'Produtos Bazar'!$A$8:$K$107,2,FALSE))</f>
        <v/>
      </c>
      <c r="D136" s="37"/>
      <c r="E136" s="43" t="str">
        <f t="array" ref="E136">IF(INDEX(B:B,ROW())="","",VLOOKUP(INDEX(B:B,ROW()),'Produtos Bazar'!$A$8:$K$107,11,FALSE))</f>
        <v/>
      </c>
      <c r="F136" s="43" t="str">
        <f t="shared" si="1"/>
        <v/>
      </c>
      <c r="G136" s="32"/>
      <c r="H136" s="32"/>
      <c r="I136" s="32"/>
      <c r="J136" s="32"/>
    </row>
    <row r="137">
      <c r="A137" s="31"/>
      <c r="B137" s="32"/>
      <c r="C137" s="35" t="str">
        <f t="array" ref="C137">IF(INDEX(B:B,ROW())="","",VLOOKUP(INDEX(B:B,ROW()),'Produtos Bazar'!$A$8:$K$107,2,FALSE))</f>
        <v/>
      </c>
      <c r="D137" s="37"/>
      <c r="E137" s="43" t="str">
        <f t="array" ref="E137">IF(INDEX(B:B,ROW())="","",VLOOKUP(INDEX(B:B,ROW()),'Produtos Bazar'!$A$8:$K$107,11,FALSE))</f>
        <v/>
      </c>
      <c r="F137" s="43" t="str">
        <f t="shared" si="1"/>
        <v/>
      </c>
      <c r="G137" s="32"/>
      <c r="H137" s="32"/>
      <c r="I137" s="32"/>
      <c r="J137" s="32"/>
    </row>
    <row r="138">
      <c r="A138" s="31"/>
      <c r="B138" s="32"/>
      <c r="C138" s="35" t="str">
        <f t="array" ref="C138">IF(INDEX(B:B,ROW())="","",VLOOKUP(INDEX(B:B,ROW()),'Produtos Bazar'!$A$8:$K$107,2,FALSE))</f>
        <v/>
      </c>
      <c r="D138" s="37"/>
      <c r="E138" s="43" t="str">
        <f t="array" ref="E138">IF(INDEX(B:B,ROW())="","",VLOOKUP(INDEX(B:B,ROW()),'Produtos Bazar'!$A$8:$K$107,11,FALSE))</f>
        <v/>
      </c>
      <c r="F138" s="43" t="str">
        <f t="shared" si="1"/>
        <v/>
      </c>
      <c r="G138" s="32"/>
      <c r="H138" s="32"/>
      <c r="I138" s="32"/>
      <c r="J138" s="32"/>
    </row>
    <row r="139">
      <c r="A139" s="31"/>
      <c r="B139" s="32"/>
      <c r="C139" s="35" t="str">
        <f t="array" ref="C139">IF(INDEX(B:B,ROW())="","",VLOOKUP(INDEX(B:B,ROW()),'Produtos Bazar'!$A$8:$K$107,2,FALSE))</f>
        <v/>
      </c>
      <c r="D139" s="37"/>
      <c r="E139" s="43" t="str">
        <f t="array" ref="E139">IF(INDEX(B:B,ROW())="","",VLOOKUP(INDEX(B:B,ROW()),'Produtos Bazar'!$A$8:$K$107,11,FALSE))</f>
        <v/>
      </c>
      <c r="F139" s="43" t="str">
        <f t="shared" si="1"/>
        <v/>
      </c>
      <c r="G139" s="32"/>
      <c r="H139" s="32"/>
      <c r="I139" s="32"/>
      <c r="J139" s="32"/>
    </row>
    <row r="140">
      <c r="A140" s="31"/>
      <c r="B140" s="32"/>
      <c r="C140" s="35" t="str">
        <f t="array" ref="C140">IF(INDEX(B:B,ROW())="","",VLOOKUP(INDEX(B:B,ROW()),'Produtos Bazar'!$A$8:$K$107,2,FALSE))</f>
        <v/>
      </c>
      <c r="D140" s="37"/>
      <c r="E140" s="43" t="str">
        <f t="array" ref="E140">IF(INDEX(B:B,ROW())="","",VLOOKUP(INDEX(B:B,ROW()),'Produtos Bazar'!$A$8:$K$107,11,FALSE))</f>
        <v/>
      </c>
      <c r="F140" s="43" t="str">
        <f t="shared" si="1"/>
        <v/>
      </c>
      <c r="G140" s="32"/>
      <c r="H140" s="32"/>
      <c r="I140" s="32"/>
      <c r="J140" s="32"/>
    </row>
    <row r="141">
      <c r="A141" s="31"/>
      <c r="B141" s="32"/>
      <c r="C141" s="35" t="str">
        <f t="array" ref="C141">IF(INDEX(B:B,ROW())="","",VLOOKUP(INDEX(B:B,ROW()),'Produtos Bazar'!$A$8:$K$107,2,FALSE))</f>
        <v/>
      </c>
      <c r="D141" s="37"/>
      <c r="E141" s="43" t="str">
        <f t="array" ref="E141">IF(INDEX(B:B,ROW())="","",VLOOKUP(INDEX(B:B,ROW()),'Produtos Bazar'!$A$8:$K$107,11,FALSE))</f>
        <v/>
      </c>
      <c r="F141" s="43" t="str">
        <f t="shared" si="1"/>
        <v/>
      </c>
      <c r="G141" s="32"/>
      <c r="H141" s="32"/>
      <c r="I141" s="32"/>
      <c r="J141" s="32"/>
    </row>
    <row r="142">
      <c r="A142" s="31"/>
      <c r="B142" s="32"/>
      <c r="C142" s="35" t="str">
        <f t="array" ref="C142">IF(INDEX(B:B,ROW())="","",VLOOKUP(INDEX(B:B,ROW()),'Produtos Bazar'!$A$8:$K$107,2,FALSE))</f>
        <v/>
      </c>
      <c r="D142" s="37"/>
      <c r="E142" s="43" t="str">
        <f t="array" ref="E142">IF(INDEX(B:B,ROW())="","",VLOOKUP(INDEX(B:B,ROW()),'Produtos Bazar'!$A$8:$K$107,11,FALSE))</f>
        <v/>
      </c>
      <c r="F142" s="43" t="str">
        <f t="shared" si="1"/>
        <v/>
      </c>
      <c r="G142" s="32"/>
      <c r="H142" s="32"/>
      <c r="I142" s="32"/>
      <c r="J142" s="32"/>
    </row>
    <row r="143">
      <c r="A143" s="31"/>
      <c r="B143" s="32"/>
      <c r="C143" s="35" t="str">
        <f t="array" ref="C143">IF(INDEX(B:B,ROW())="","",VLOOKUP(INDEX(B:B,ROW()),'Produtos Bazar'!$A$8:$K$107,2,FALSE))</f>
        <v/>
      </c>
      <c r="D143" s="37"/>
      <c r="E143" s="43" t="str">
        <f t="array" ref="E143">IF(INDEX(B:B,ROW())="","",VLOOKUP(INDEX(B:B,ROW()),'Produtos Bazar'!$A$8:$K$107,11,FALSE))</f>
        <v/>
      </c>
      <c r="F143" s="43" t="str">
        <f t="shared" si="1"/>
        <v/>
      </c>
      <c r="G143" s="32"/>
      <c r="H143" s="32"/>
      <c r="I143" s="32"/>
      <c r="J143" s="32"/>
    </row>
    <row r="144">
      <c r="A144" s="31"/>
      <c r="B144" s="32"/>
      <c r="C144" s="35" t="str">
        <f t="array" ref="C144">IF(INDEX(B:B,ROW())="","",VLOOKUP(INDEX(B:B,ROW()),'Produtos Bazar'!$A$8:$K$107,2,FALSE))</f>
        <v/>
      </c>
      <c r="D144" s="37"/>
      <c r="E144" s="43" t="str">
        <f t="array" ref="E144">IF(INDEX(B:B,ROW())="","",VLOOKUP(INDEX(B:B,ROW()),'Produtos Bazar'!$A$8:$K$107,11,FALSE))</f>
        <v/>
      </c>
      <c r="F144" s="43" t="str">
        <f t="shared" si="1"/>
        <v/>
      </c>
      <c r="G144" s="32"/>
      <c r="H144" s="32"/>
      <c r="I144" s="32"/>
      <c r="J144" s="32"/>
    </row>
    <row r="145">
      <c r="A145" s="31"/>
      <c r="B145" s="32"/>
      <c r="C145" s="35" t="str">
        <f t="array" ref="C145">IF(INDEX(B:B,ROW())="","",VLOOKUP(INDEX(B:B,ROW()),'Produtos Bazar'!$A$8:$K$107,2,FALSE))</f>
        <v/>
      </c>
      <c r="D145" s="37"/>
      <c r="E145" s="43" t="str">
        <f t="array" ref="E145">IF(INDEX(B:B,ROW())="","",VLOOKUP(INDEX(B:B,ROW()),'Produtos Bazar'!$A$8:$K$107,11,FALSE))</f>
        <v/>
      </c>
      <c r="F145" s="43" t="str">
        <f t="shared" si="1"/>
        <v/>
      </c>
      <c r="G145" s="32"/>
      <c r="H145" s="32"/>
      <c r="I145" s="32"/>
      <c r="J145" s="32"/>
    </row>
    <row r="146">
      <c r="A146" s="31"/>
      <c r="B146" s="32"/>
      <c r="C146" s="35" t="str">
        <f t="array" ref="C146">IF(INDEX(B:B,ROW())="","",VLOOKUP(INDEX(B:B,ROW()),'Produtos Bazar'!$A$8:$K$107,2,FALSE))</f>
        <v/>
      </c>
      <c r="D146" s="37"/>
      <c r="E146" s="43" t="str">
        <f t="array" ref="E146">IF(INDEX(B:B,ROW())="","",VLOOKUP(INDEX(B:B,ROW()),'Produtos Bazar'!$A$8:$K$107,11,FALSE))</f>
        <v/>
      </c>
      <c r="F146" s="43" t="str">
        <f t="shared" si="1"/>
        <v/>
      </c>
      <c r="G146" s="32"/>
      <c r="H146" s="32"/>
      <c r="I146" s="32"/>
      <c r="J146" s="32"/>
    </row>
    <row r="147">
      <c r="A147" s="31"/>
      <c r="B147" s="32"/>
      <c r="C147" s="35" t="str">
        <f t="array" ref="C147">IF(INDEX(B:B,ROW())="","",VLOOKUP(INDEX(B:B,ROW()),'Produtos Bazar'!$A$8:$K$107,2,FALSE))</f>
        <v/>
      </c>
      <c r="D147" s="37"/>
      <c r="E147" s="43" t="str">
        <f t="array" ref="E147">IF(INDEX(B:B,ROW())="","",VLOOKUP(INDEX(B:B,ROW()),'Produtos Bazar'!$A$8:$K$107,11,FALSE))</f>
        <v/>
      </c>
      <c r="F147" s="43" t="str">
        <f t="shared" si="1"/>
        <v/>
      </c>
      <c r="G147" s="32"/>
      <c r="H147" s="32"/>
      <c r="I147" s="32"/>
      <c r="J147" s="32"/>
    </row>
    <row r="148">
      <c r="A148" s="31"/>
      <c r="B148" s="32"/>
      <c r="C148" s="35" t="str">
        <f t="array" ref="C148">IF(INDEX(B:B,ROW())="","",VLOOKUP(INDEX(B:B,ROW()),'Produtos Bazar'!$A$8:$K$107,2,FALSE))</f>
        <v/>
      </c>
      <c r="D148" s="37"/>
      <c r="E148" s="43" t="str">
        <f t="array" ref="E148">IF(INDEX(B:B,ROW())="","",VLOOKUP(INDEX(B:B,ROW()),'Produtos Bazar'!$A$8:$K$107,11,FALSE))</f>
        <v/>
      </c>
      <c r="F148" s="43" t="str">
        <f t="shared" si="1"/>
        <v/>
      </c>
      <c r="G148" s="32"/>
      <c r="H148" s="32"/>
      <c r="I148" s="32"/>
      <c r="J148" s="32"/>
    </row>
    <row r="149">
      <c r="A149" s="31"/>
      <c r="B149" s="32"/>
      <c r="C149" s="35" t="str">
        <f t="array" ref="C149">IF(INDEX(B:B,ROW())="","",VLOOKUP(INDEX(B:B,ROW()),'Produtos Bazar'!$A$8:$K$107,2,FALSE))</f>
        <v/>
      </c>
      <c r="D149" s="37"/>
      <c r="E149" s="43" t="str">
        <f t="array" ref="E149">IF(INDEX(B:B,ROW())="","",VLOOKUP(INDEX(B:B,ROW()),'Produtos Bazar'!$A$8:$K$107,11,FALSE))</f>
        <v/>
      </c>
      <c r="F149" s="43" t="str">
        <f t="shared" si="1"/>
        <v/>
      </c>
      <c r="G149" s="32"/>
      <c r="H149" s="32"/>
      <c r="I149" s="32"/>
      <c r="J149" s="32"/>
    </row>
    <row r="150">
      <c r="A150" s="31"/>
      <c r="B150" s="32"/>
      <c r="C150" s="35" t="str">
        <f t="array" ref="C150">IF(INDEX(B:B,ROW())="","",VLOOKUP(INDEX(B:B,ROW()),'Produtos Bazar'!$A$8:$K$107,2,FALSE))</f>
        <v/>
      </c>
      <c r="D150" s="37"/>
      <c r="E150" s="43" t="str">
        <f t="array" ref="E150">IF(INDEX(B:B,ROW())="","",VLOOKUP(INDEX(B:B,ROW()),'Produtos Bazar'!$A$8:$K$107,11,FALSE))</f>
        <v/>
      </c>
      <c r="F150" s="43" t="str">
        <f t="shared" si="1"/>
        <v/>
      </c>
      <c r="G150" s="32"/>
      <c r="H150" s="32"/>
      <c r="I150" s="32"/>
      <c r="J150" s="32"/>
    </row>
    <row r="151">
      <c r="A151" s="31"/>
      <c r="B151" s="32"/>
      <c r="C151" s="35" t="str">
        <f t="array" ref="C151">IF(INDEX(B:B,ROW())="","",VLOOKUP(INDEX(B:B,ROW()),'Produtos Bazar'!$A$8:$K$107,2,FALSE))</f>
        <v/>
      </c>
      <c r="D151" s="37"/>
      <c r="E151" s="43" t="str">
        <f t="array" ref="E151">IF(INDEX(B:B,ROW())="","",VLOOKUP(INDEX(B:B,ROW()),'Produtos Bazar'!$A$8:$K$107,11,FALSE))</f>
        <v/>
      </c>
      <c r="F151" s="43" t="str">
        <f t="shared" si="1"/>
        <v/>
      </c>
      <c r="G151" s="32"/>
      <c r="H151" s="32"/>
      <c r="I151" s="32"/>
      <c r="J151" s="32"/>
    </row>
    <row r="152">
      <c r="A152" s="31"/>
      <c r="B152" s="32"/>
      <c r="C152" s="35" t="str">
        <f t="array" ref="C152">IF(INDEX(B:B,ROW())="","",VLOOKUP(INDEX(B:B,ROW()),'Produtos Bazar'!$A$8:$K$107,2,FALSE))</f>
        <v/>
      </c>
      <c r="D152" s="37"/>
      <c r="E152" s="43" t="str">
        <f t="array" ref="E152">IF(INDEX(B:B,ROW())="","",VLOOKUP(INDEX(B:B,ROW()),'Produtos Bazar'!$A$8:$K$107,11,FALSE))</f>
        <v/>
      </c>
      <c r="F152" s="43" t="str">
        <f t="shared" si="1"/>
        <v/>
      </c>
      <c r="G152" s="32"/>
      <c r="H152" s="32"/>
      <c r="I152" s="32"/>
      <c r="J152" s="32"/>
    </row>
    <row r="153">
      <c r="A153" s="31"/>
      <c r="B153" s="32"/>
      <c r="C153" s="35" t="str">
        <f t="array" ref="C153">IF(INDEX(B:B,ROW())="","",VLOOKUP(INDEX(B:B,ROW()),'Produtos Bazar'!$A$8:$K$107,2,FALSE))</f>
        <v/>
      </c>
      <c r="D153" s="37"/>
      <c r="E153" s="43" t="str">
        <f t="array" ref="E153">IF(INDEX(B:B,ROW())="","",VLOOKUP(INDEX(B:B,ROW()),'Produtos Bazar'!$A$8:$K$107,11,FALSE))</f>
        <v/>
      </c>
      <c r="F153" s="43" t="str">
        <f t="shared" si="1"/>
        <v/>
      </c>
      <c r="G153" s="32"/>
      <c r="H153" s="32"/>
      <c r="I153" s="32"/>
      <c r="J153" s="32"/>
    </row>
    <row r="154">
      <c r="A154" s="31"/>
      <c r="B154" s="32"/>
      <c r="C154" s="35" t="str">
        <f t="array" ref="C154">IF(INDEX(B:B,ROW())="","",VLOOKUP(INDEX(B:B,ROW()),'Produtos Bazar'!$A$8:$K$107,2,FALSE))</f>
        <v/>
      </c>
      <c r="D154" s="37"/>
      <c r="E154" s="43" t="str">
        <f t="array" ref="E154">IF(INDEX(B:B,ROW())="","",VLOOKUP(INDEX(B:B,ROW()),'Produtos Bazar'!$A$8:$K$107,11,FALSE))</f>
        <v/>
      </c>
      <c r="F154" s="43" t="str">
        <f t="shared" si="1"/>
        <v/>
      </c>
      <c r="G154" s="32"/>
      <c r="H154" s="32"/>
      <c r="I154" s="32"/>
      <c r="J154" s="32"/>
    </row>
    <row r="155">
      <c r="A155" s="31"/>
      <c r="B155" s="32"/>
      <c r="C155" s="35" t="str">
        <f t="array" ref="C155">IF(INDEX(B:B,ROW())="","",VLOOKUP(INDEX(B:B,ROW()),'Produtos Bazar'!$A$8:$K$107,2,FALSE))</f>
        <v/>
      </c>
      <c r="D155" s="37"/>
      <c r="E155" s="43" t="str">
        <f t="array" ref="E155">IF(INDEX(B:B,ROW())="","",VLOOKUP(INDEX(B:B,ROW()),'Produtos Bazar'!$A$8:$K$107,11,FALSE))</f>
        <v/>
      </c>
      <c r="F155" s="43" t="str">
        <f t="shared" si="1"/>
        <v/>
      </c>
      <c r="G155" s="32"/>
      <c r="H155" s="32"/>
      <c r="I155" s="32"/>
      <c r="J155" s="32"/>
    </row>
    <row r="156">
      <c r="A156" s="31"/>
      <c r="B156" s="32"/>
      <c r="C156" s="35" t="str">
        <f t="array" ref="C156">IF(INDEX(B:B,ROW())="","",VLOOKUP(INDEX(B:B,ROW()),'Produtos Bazar'!$A$8:$K$107,2,FALSE))</f>
        <v/>
      </c>
      <c r="D156" s="37"/>
      <c r="E156" s="43" t="str">
        <f t="array" ref="E156">IF(INDEX(B:B,ROW())="","",VLOOKUP(INDEX(B:B,ROW()),'Produtos Bazar'!$A$8:$K$107,11,FALSE))</f>
        <v/>
      </c>
      <c r="F156" s="43" t="str">
        <f t="shared" si="1"/>
        <v/>
      </c>
      <c r="G156" s="32"/>
      <c r="H156" s="32"/>
      <c r="I156" s="32"/>
      <c r="J156" s="32"/>
    </row>
    <row r="157">
      <c r="A157" s="31"/>
      <c r="B157" s="32"/>
      <c r="C157" s="35" t="str">
        <f t="array" ref="C157">IF(INDEX(B:B,ROW())="","",VLOOKUP(INDEX(B:B,ROW()),'Produtos Bazar'!$A$8:$K$107,2,FALSE))</f>
        <v/>
      </c>
      <c r="D157" s="37"/>
      <c r="E157" s="43" t="str">
        <f t="array" ref="E157">IF(INDEX(B:B,ROW())="","",VLOOKUP(INDEX(B:B,ROW()),'Produtos Bazar'!$A$8:$K$107,11,FALSE))</f>
        <v/>
      </c>
      <c r="F157" s="43" t="str">
        <f t="shared" si="1"/>
        <v/>
      </c>
      <c r="G157" s="32"/>
      <c r="H157" s="32"/>
      <c r="I157" s="32"/>
      <c r="J157" s="32"/>
    </row>
    <row r="158">
      <c r="A158" s="31"/>
      <c r="B158" s="32"/>
      <c r="C158" s="35" t="str">
        <f t="array" ref="C158">IF(INDEX(B:B,ROW())="","",VLOOKUP(INDEX(B:B,ROW()),'Produtos Bazar'!$A$8:$K$107,2,FALSE))</f>
        <v/>
      </c>
      <c r="D158" s="37"/>
      <c r="E158" s="43" t="str">
        <f t="array" ref="E158">IF(INDEX(B:B,ROW())="","",VLOOKUP(INDEX(B:B,ROW()),'Produtos Bazar'!$A$8:$K$107,11,FALSE))</f>
        <v/>
      </c>
      <c r="F158" s="43" t="str">
        <f t="shared" si="1"/>
        <v/>
      </c>
      <c r="G158" s="32"/>
      <c r="H158" s="32"/>
      <c r="I158" s="32"/>
      <c r="J158" s="32"/>
    </row>
    <row r="159">
      <c r="A159" s="31"/>
      <c r="B159" s="32"/>
      <c r="C159" s="35" t="str">
        <f t="array" ref="C159">IF(INDEX(B:B,ROW())="","",VLOOKUP(INDEX(B:B,ROW()),'Produtos Bazar'!$A$8:$K$107,2,FALSE))</f>
        <v/>
      </c>
      <c r="D159" s="37"/>
      <c r="E159" s="43" t="str">
        <f t="array" ref="E159">IF(INDEX(B:B,ROW())="","",VLOOKUP(INDEX(B:B,ROW()),'Produtos Bazar'!$A$8:$K$107,11,FALSE))</f>
        <v/>
      </c>
      <c r="F159" s="43" t="str">
        <f t="shared" si="1"/>
        <v/>
      </c>
      <c r="G159" s="32"/>
      <c r="H159" s="32"/>
      <c r="I159" s="32"/>
      <c r="J159" s="32"/>
    </row>
    <row r="160">
      <c r="A160" s="31"/>
      <c r="B160" s="32"/>
      <c r="C160" s="35" t="str">
        <f t="array" ref="C160">IF(INDEX(B:B,ROW())="","",VLOOKUP(INDEX(B:B,ROW()),'Produtos Bazar'!$A$8:$K$107,2,FALSE))</f>
        <v/>
      </c>
      <c r="D160" s="37"/>
      <c r="E160" s="43" t="str">
        <f t="array" ref="E160">IF(INDEX(B:B,ROW())="","",VLOOKUP(INDEX(B:B,ROW()),'Produtos Bazar'!$A$8:$K$107,11,FALSE))</f>
        <v/>
      </c>
      <c r="F160" s="43" t="str">
        <f t="shared" si="1"/>
        <v/>
      </c>
      <c r="G160" s="32"/>
      <c r="H160" s="32"/>
      <c r="I160" s="32"/>
      <c r="J160" s="32"/>
    </row>
    <row r="161">
      <c r="A161" s="31"/>
      <c r="B161" s="32"/>
      <c r="C161" s="35" t="str">
        <f t="array" ref="C161">IF(INDEX(B:B,ROW())="","",VLOOKUP(INDEX(B:B,ROW()),'Produtos Bazar'!$A$8:$K$107,2,FALSE))</f>
        <v/>
      </c>
      <c r="D161" s="37"/>
      <c r="E161" s="43" t="str">
        <f t="array" ref="E161">IF(INDEX(B:B,ROW())="","",VLOOKUP(INDEX(B:B,ROW()),'Produtos Bazar'!$A$8:$K$107,11,FALSE))</f>
        <v/>
      </c>
      <c r="F161" s="43" t="str">
        <f t="shared" si="1"/>
        <v/>
      </c>
      <c r="G161" s="32"/>
      <c r="H161" s="32"/>
      <c r="I161" s="32"/>
      <c r="J161" s="32"/>
    </row>
    <row r="162">
      <c r="A162" s="31"/>
      <c r="B162" s="32"/>
      <c r="C162" s="35" t="str">
        <f t="array" ref="C162">IF(INDEX(B:B,ROW())="","",VLOOKUP(INDEX(B:B,ROW()),'Produtos Bazar'!$A$8:$K$107,2,FALSE))</f>
        <v/>
      </c>
      <c r="D162" s="37"/>
      <c r="E162" s="43" t="str">
        <f t="array" ref="E162">IF(INDEX(B:B,ROW())="","",VLOOKUP(INDEX(B:B,ROW()),'Produtos Bazar'!$A$8:$K$107,11,FALSE))</f>
        <v/>
      </c>
      <c r="F162" s="43" t="str">
        <f t="shared" si="1"/>
        <v/>
      </c>
      <c r="G162" s="32"/>
      <c r="H162" s="32"/>
      <c r="I162" s="32"/>
      <c r="J162" s="32"/>
    </row>
    <row r="163">
      <c r="A163" s="31"/>
      <c r="B163" s="32"/>
      <c r="C163" s="35" t="str">
        <f t="array" ref="C163">IF(INDEX(B:B,ROW())="","",VLOOKUP(INDEX(B:B,ROW()),'Produtos Bazar'!$A$8:$K$107,2,FALSE))</f>
        <v/>
      </c>
      <c r="D163" s="37"/>
      <c r="E163" s="43" t="str">
        <f t="array" ref="E163">IF(INDEX(B:B,ROW())="","",VLOOKUP(INDEX(B:B,ROW()),'Produtos Bazar'!$A$8:$K$107,11,FALSE))</f>
        <v/>
      </c>
      <c r="F163" s="43" t="str">
        <f t="shared" si="1"/>
        <v/>
      </c>
      <c r="G163" s="32"/>
      <c r="H163" s="32"/>
      <c r="I163" s="32"/>
      <c r="J163" s="32"/>
    </row>
    <row r="164">
      <c r="A164" s="31"/>
      <c r="B164" s="32"/>
      <c r="C164" s="35" t="str">
        <f t="array" ref="C164">IF(INDEX(B:B,ROW())="","",VLOOKUP(INDEX(B:B,ROW()),'Produtos Bazar'!$A$8:$K$107,2,FALSE))</f>
        <v/>
      </c>
      <c r="D164" s="37"/>
      <c r="E164" s="43" t="str">
        <f t="array" ref="E164">IF(INDEX(B:B,ROW())="","",VLOOKUP(INDEX(B:B,ROW()),'Produtos Bazar'!$A$8:$K$107,11,FALSE))</f>
        <v/>
      </c>
      <c r="F164" s="43" t="str">
        <f t="shared" si="1"/>
        <v/>
      </c>
      <c r="G164" s="32"/>
      <c r="H164" s="32"/>
      <c r="I164" s="32"/>
      <c r="J164" s="32"/>
    </row>
    <row r="165">
      <c r="A165" s="31"/>
      <c r="B165" s="32"/>
      <c r="C165" s="35" t="str">
        <f t="array" ref="C165">IF(INDEX(B:B,ROW())="","",VLOOKUP(INDEX(B:B,ROW()),'Produtos Bazar'!$A$8:$K$107,2,FALSE))</f>
        <v/>
      </c>
      <c r="D165" s="37"/>
      <c r="E165" s="43" t="str">
        <f t="array" ref="E165">IF(INDEX(B:B,ROW())="","",VLOOKUP(INDEX(B:B,ROW()),'Produtos Bazar'!$A$8:$K$107,11,FALSE))</f>
        <v/>
      </c>
      <c r="F165" s="43" t="str">
        <f t="shared" si="1"/>
        <v/>
      </c>
      <c r="G165" s="32"/>
      <c r="H165" s="32"/>
      <c r="I165" s="32"/>
      <c r="J165" s="32"/>
    </row>
    <row r="166">
      <c r="A166" s="31"/>
      <c r="B166" s="32"/>
      <c r="C166" s="35" t="str">
        <f t="array" ref="C166">IF(INDEX(B:B,ROW())="","",VLOOKUP(INDEX(B:B,ROW()),'Produtos Bazar'!$A$8:$K$107,2,FALSE))</f>
        <v/>
      </c>
      <c r="D166" s="37"/>
      <c r="E166" s="43" t="str">
        <f t="array" ref="E166">IF(INDEX(B:B,ROW())="","",VLOOKUP(INDEX(B:B,ROW()),'Produtos Bazar'!$A$8:$K$107,11,FALSE))</f>
        <v/>
      </c>
      <c r="F166" s="43" t="str">
        <f t="shared" si="1"/>
        <v/>
      </c>
      <c r="G166" s="32"/>
      <c r="H166" s="32"/>
      <c r="I166" s="32"/>
      <c r="J166" s="32"/>
    </row>
    <row r="167">
      <c r="A167" s="31"/>
      <c r="B167" s="32"/>
      <c r="C167" s="35" t="str">
        <f t="array" ref="C167">IF(INDEX(B:B,ROW())="","",VLOOKUP(INDEX(B:B,ROW()),'Produtos Bazar'!$A$8:$K$107,2,FALSE))</f>
        <v/>
      </c>
      <c r="D167" s="37"/>
      <c r="E167" s="43" t="str">
        <f t="array" ref="E167">IF(INDEX(B:B,ROW())="","",VLOOKUP(INDEX(B:B,ROW()),'Produtos Bazar'!$A$8:$K$107,11,FALSE))</f>
        <v/>
      </c>
      <c r="F167" s="43" t="str">
        <f t="shared" si="1"/>
        <v/>
      </c>
      <c r="G167" s="32"/>
      <c r="H167" s="32"/>
      <c r="I167" s="32"/>
      <c r="J167" s="32"/>
    </row>
    <row r="168">
      <c r="A168" s="31"/>
      <c r="B168" s="32"/>
      <c r="C168" s="35" t="str">
        <f t="array" ref="C168">IF(INDEX(B:B,ROW())="","",VLOOKUP(INDEX(B:B,ROW()),'Produtos Bazar'!$A$8:$K$107,2,FALSE))</f>
        <v/>
      </c>
      <c r="D168" s="37"/>
      <c r="E168" s="43" t="str">
        <f t="array" ref="E168">IF(INDEX(B:B,ROW())="","",VLOOKUP(INDEX(B:B,ROW()),'Produtos Bazar'!$A$8:$K$107,11,FALSE))</f>
        <v/>
      </c>
      <c r="F168" s="43" t="str">
        <f t="shared" si="1"/>
        <v/>
      </c>
      <c r="G168" s="32"/>
      <c r="H168" s="32"/>
      <c r="I168" s="32"/>
      <c r="J168" s="32"/>
    </row>
    <row r="169">
      <c r="A169" s="31"/>
      <c r="B169" s="32"/>
      <c r="C169" s="35" t="str">
        <f t="array" ref="C169">IF(INDEX(B:B,ROW())="","",VLOOKUP(INDEX(B:B,ROW()),'Produtos Bazar'!$A$8:$K$107,2,FALSE))</f>
        <v/>
      </c>
      <c r="D169" s="37"/>
      <c r="E169" s="43" t="str">
        <f t="array" ref="E169">IF(INDEX(B:B,ROW())="","",VLOOKUP(INDEX(B:B,ROW()),'Produtos Bazar'!$A$8:$K$107,11,FALSE))</f>
        <v/>
      </c>
      <c r="F169" s="43" t="str">
        <f t="shared" si="1"/>
        <v/>
      </c>
      <c r="G169" s="32"/>
      <c r="H169" s="32"/>
      <c r="I169" s="32"/>
      <c r="J169" s="32"/>
    </row>
    <row r="170">
      <c r="A170" s="31"/>
      <c r="B170" s="32"/>
      <c r="C170" s="35" t="str">
        <f t="array" ref="C170">IF(INDEX(B:B,ROW())="","",VLOOKUP(INDEX(B:B,ROW()),'Produtos Bazar'!$A$8:$K$107,2,FALSE))</f>
        <v/>
      </c>
      <c r="D170" s="37"/>
      <c r="E170" s="43" t="str">
        <f t="array" ref="E170">IF(INDEX(B:B,ROW())="","",VLOOKUP(INDEX(B:B,ROW()),'Produtos Bazar'!$A$8:$K$107,11,FALSE))</f>
        <v/>
      </c>
      <c r="F170" s="43" t="str">
        <f t="shared" si="1"/>
        <v/>
      </c>
      <c r="G170" s="32"/>
      <c r="H170" s="32"/>
      <c r="I170" s="32"/>
      <c r="J170" s="32"/>
    </row>
    <row r="171">
      <c r="A171" s="31"/>
      <c r="B171" s="32"/>
      <c r="C171" s="35" t="str">
        <f t="array" ref="C171">IF(INDEX(B:B,ROW())="","",VLOOKUP(INDEX(B:B,ROW()),'Produtos Bazar'!$A$8:$K$107,2,FALSE))</f>
        <v/>
      </c>
      <c r="D171" s="37"/>
      <c r="E171" s="43" t="str">
        <f t="array" ref="E171">IF(INDEX(B:B,ROW())="","",VLOOKUP(INDEX(B:B,ROW()),'Produtos Bazar'!$A$8:$K$107,11,FALSE))</f>
        <v/>
      </c>
      <c r="F171" s="43" t="str">
        <f t="shared" si="1"/>
        <v/>
      </c>
      <c r="G171" s="32"/>
      <c r="H171" s="32"/>
      <c r="I171" s="32"/>
      <c r="J171" s="32"/>
    </row>
    <row r="172">
      <c r="A172" s="31"/>
      <c r="B172" s="32"/>
      <c r="C172" s="35" t="str">
        <f t="array" ref="C172">IF(INDEX(B:B,ROW())="","",VLOOKUP(INDEX(B:B,ROW()),'Produtos Bazar'!$A$8:$K$107,2,FALSE))</f>
        <v/>
      </c>
      <c r="D172" s="37"/>
      <c r="E172" s="43" t="str">
        <f t="array" ref="E172">IF(INDEX(B:B,ROW())="","",VLOOKUP(INDEX(B:B,ROW()),'Produtos Bazar'!$A$8:$K$107,11,FALSE))</f>
        <v/>
      </c>
      <c r="F172" s="43" t="str">
        <f t="shared" si="1"/>
        <v/>
      </c>
      <c r="G172" s="32"/>
      <c r="H172" s="32"/>
      <c r="I172" s="32"/>
      <c r="J172" s="32"/>
    </row>
    <row r="173">
      <c r="A173" s="31"/>
      <c r="B173" s="32"/>
      <c r="C173" s="35" t="str">
        <f t="array" ref="C173">IF(INDEX(B:B,ROW())="","",VLOOKUP(INDEX(B:B,ROW()),'Produtos Bazar'!$A$8:$K$107,2,FALSE))</f>
        <v/>
      </c>
      <c r="D173" s="37"/>
      <c r="E173" s="43" t="str">
        <f t="array" ref="E173">IF(INDEX(B:B,ROW())="","",VLOOKUP(INDEX(B:B,ROW()),'Produtos Bazar'!$A$8:$K$107,11,FALSE))</f>
        <v/>
      </c>
      <c r="F173" s="43" t="str">
        <f t="shared" si="1"/>
        <v/>
      </c>
      <c r="G173" s="32"/>
      <c r="H173" s="32"/>
      <c r="I173" s="32"/>
      <c r="J173" s="32"/>
    </row>
    <row r="174">
      <c r="A174" s="31"/>
      <c r="B174" s="32"/>
      <c r="C174" s="35" t="str">
        <f t="array" ref="C174">IF(INDEX(B:B,ROW())="","",VLOOKUP(INDEX(B:B,ROW()),'Produtos Bazar'!$A$8:$K$107,2,FALSE))</f>
        <v/>
      </c>
      <c r="D174" s="37"/>
      <c r="E174" s="43" t="str">
        <f t="array" ref="E174">IF(INDEX(B:B,ROW())="","",VLOOKUP(INDEX(B:B,ROW()),'Produtos Bazar'!$A$8:$K$107,11,FALSE))</f>
        <v/>
      </c>
      <c r="F174" s="43" t="str">
        <f t="shared" si="1"/>
        <v/>
      </c>
      <c r="G174" s="32"/>
      <c r="H174" s="32"/>
      <c r="I174" s="32"/>
      <c r="J174" s="32"/>
    </row>
    <row r="175">
      <c r="A175" s="31"/>
      <c r="B175" s="32"/>
      <c r="C175" s="35" t="str">
        <f t="array" ref="C175">IF(INDEX(B:B,ROW())="","",VLOOKUP(INDEX(B:B,ROW()),'Produtos Bazar'!$A$8:$K$107,2,FALSE))</f>
        <v/>
      </c>
      <c r="D175" s="37"/>
      <c r="E175" s="43" t="str">
        <f t="array" ref="E175">IF(INDEX(B:B,ROW())="","",VLOOKUP(INDEX(B:B,ROW()),'Produtos Bazar'!$A$8:$K$107,11,FALSE))</f>
        <v/>
      </c>
      <c r="F175" s="43" t="str">
        <f t="shared" si="1"/>
        <v/>
      </c>
      <c r="G175" s="32"/>
      <c r="H175" s="32"/>
      <c r="I175" s="32"/>
      <c r="J175" s="32"/>
    </row>
    <row r="176">
      <c r="A176" s="31"/>
      <c r="B176" s="32"/>
      <c r="C176" s="35" t="str">
        <f t="array" ref="C176">IF(INDEX(B:B,ROW())="","",VLOOKUP(INDEX(B:B,ROW()),'Produtos Bazar'!$A$8:$K$107,2,FALSE))</f>
        <v/>
      </c>
      <c r="D176" s="37"/>
      <c r="E176" s="43" t="str">
        <f t="array" ref="E176">IF(INDEX(B:B,ROW())="","",VLOOKUP(INDEX(B:B,ROW()),'Produtos Bazar'!$A$8:$K$107,11,FALSE))</f>
        <v/>
      </c>
      <c r="F176" s="43" t="str">
        <f t="shared" si="1"/>
        <v/>
      </c>
      <c r="G176" s="32"/>
      <c r="H176" s="32"/>
      <c r="I176" s="32"/>
      <c r="J176" s="32"/>
    </row>
    <row r="177">
      <c r="A177" s="31"/>
      <c r="B177" s="32"/>
      <c r="C177" s="35" t="str">
        <f t="array" ref="C177">IF(INDEX(B:B,ROW())="","",VLOOKUP(INDEX(B:B,ROW()),'Produtos Bazar'!$A$8:$K$107,2,FALSE))</f>
        <v/>
      </c>
      <c r="D177" s="37"/>
      <c r="E177" s="43" t="str">
        <f t="array" ref="E177">IF(INDEX(B:B,ROW())="","",VLOOKUP(INDEX(B:B,ROW()),'Produtos Bazar'!$A$8:$K$107,11,FALSE))</f>
        <v/>
      </c>
      <c r="F177" s="43" t="str">
        <f t="shared" si="1"/>
        <v/>
      </c>
      <c r="G177" s="32"/>
      <c r="H177" s="32"/>
      <c r="I177" s="32"/>
      <c r="J177" s="32"/>
    </row>
    <row r="178">
      <c r="A178" s="31"/>
      <c r="B178" s="32"/>
      <c r="C178" s="35" t="str">
        <f t="array" ref="C178">IF(INDEX(B:B,ROW())="","",VLOOKUP(INDEX(B:B,ROW()),'Produtos Bazar'!$A$8:$K$107,2,FALSE))</f>
        <v/>
      </c>
      <c r="D178" s="37"/>
      <c r="E178" s="43" t="str">
        <f t="array" ref="E178">IF(INDEX(B:B,ROW())="","",VLOOKUP(INDEX(B:B,ROW()),'Produtos Bazar'!$A$8:$K$107,11,FALSE))</f>
        <v/>
      </c>
      <c r="F178" s="43" t="str">
        <f t="shared" si="1"/>
        <v/>
      </c>
      <c r="G178" s="32"/>
      <c r="H178" s="32"/>
      <c r="I178" s="32"/>
      <c r="J178" s="32"/>
    </row>
    <row r="179">
      <c r="A179" s="31"/>
      <c r="B179" s="32"/>
      <c r="C179" s="35" t="str">
        <f t="array" ref="C179">IF(INDEX(B:B,ROW())="","",VLOOKUP(INDEX(B:B,ROW()),'Produtos Bazar'!$A$8:$K$107,2,FALSE))</f>
        <v/>
      </c>
      <c r="D179" s="37"/>
      <c r="E179" s="43" t="str">
        <f t="array" ref="E179">IF(INDEX(B:B,ROW())="","",VLOOKUP(INDEX(B:B,ROW()),'Produtos Bazar'!$A$8:$K$107,11,FALSE))</f>
        <v/>
      </c>
      <c r="F179" s="43" t="str">
        <f t="shared" si="1"/>
        <v/>
      </c>
      <c r="G179" s="32"/>
      <c r="H179" s="32"/>
      <c r="I179" s="32"/>
      <c r="J179" s="32"/>
    </row>
    <row r="180">
      <c r="A180" s="31"/>
      <c r="B180" s="32"/>
      <c r="C180" s="35" t="str">
        <f t="array" ref="C180">IF(INDEX(B:B,ROW())="","",VLOOKUP(INDEX(B:B,ROW()),'Produtos Bazar'!$A$8:$K$107,2,FALSE))</f>
        <v/>
      </c>
      <c r="D180" s="37"/>
      <c r="E180" s="43" t="str">
        <f t="array" ref="E180">IF(INDEX(B:B,ROW())="","",VLOOKUP(INDEX(B:B,ROW()),'Produtos Bazar'!$A$8:$K$107,11,FALSE))</f>
        <v/>
      </c>
      <c r="F180" s="43" t="str">
        <f t="shared" si="1"/>
        <v/>
      </c>
      <c r="G180" s="32"/>
      <c r="H180" s="32"/>
      <c r="I180" s="32"/>
      <c r="J180" s="32"/>
    </row>
    <row r="181">
      <c r="A181" s="31"/>
      <c r="B181" s="32"/>
      <c r="C181" s="35" t="str">
        <f t="array" ref="C181">IF(INDEX(B:B,ROW())="","",VLOOKUP(INDEX(B:B,ROW()),'Produtos Bazar'!$A$8:$K$107,2,FALSE))</f>
        <v/>
      </c>
      <c r="D181" s="37"/>
      <c r="E181" s="43" t="str">
        <f t="array" ref="E181">IF(INDEX(B:B,ROW())="","",VLOOKUP(INDEX(B:B,ROW()),'Produtos Bazar'!$A$8:$K$107,11,FALSE))</f>
        <v/>
      </c>
      <c r="F181" s="43" t="str">
        <f t="shared" si="1"/>
        <v/>
      </c>
      <c r="G181" s="32"/>
      <c r="H181" s="32"/>
      <c r="I181" s="32"/>
      <c r="J181" s="32"/>
    </row>
    <row r="182">
      <c r="A182" s="31"/>
      <c r="B182" s="32"/>
      <c r="C182" s="35" t="str">
        <f t="array" ref="C182">IF(INDEX(B:B,ROW())="","",VLOOKUP(INDEX(B:B,ROW()),'Produtos Bazar'!$A$8:$K$107,2,FALSE))</f>
        <v/>
      </c>
      <c r="D182" s="37"/>
      <c r="E182" s="43" t="str">
        <f t="array" ref="E182">IF(INDEX(B:B,ROW())="","",VLOOKUP(INDEX(B:B,ROW()),'Produtos Bazar'!$A$8:$K$107,11,FALSE))</f>
        <v/>
      </c>
      <c r="F182" s="43" t="str">
        <f t="shared" si="1"/>
        <v/>
      </c>
      <c r="G182" s="32"/>
      <c r="H182" s="32"/>
      <c r="I182" s="32"/>
      <c r="J182" s="32"/>
    </row>
    <row r="183">
      <c r="A183" s="31"/>
      <c r="B183" s="32"/>
      <c r="C183" s="35" t="str">
        <f t="array" ref="C183">IF(INDEX(B:B,ROW())="","",VLOOKUP(INDEX(B:B,ROW()),'Produtos Bazar'!$A$8:$K$107,2,FALSE))</f>
        <v/>
      </c>
      <c r="D183" s="37"/>
      <c r="E183" s="43" t="str">
        <f t="array" ref="E183">IF(INDEX(B:B,ROW())="","",VLOOKUP(INDEX(B:B,ROW()),'Produtos Bazar'!$A$8:$K$107,11,FALSE))</f>
        <v/>
      </c>
      <c r="F183" s="43" t="str">
        <f t="shared" si="1"/>
        <v/>
      </c>
      <c r="G183" s="32"/>
      <c r="H183" s="32"/>
      <c r="I183" s="32"/>
      <c r="J183" s="32"/>
    </row>
    <row r="184">
      <c r="A184" s="31"/>
      <c r="B184" s="32"/>
      <c r="C184" s="35" t="str">
        <f t="array" ref="C184">IF(INDEX(B:B,ROW())="","",VLOOKUP(INDEX(B:B,ROW()),'Produtos Bazar'!$A$8:$K$107,2,FALSE))</f>
        <v/>
      </c>
      <c r="D184" s="37"/>
      <c r="E184" s="43" t="str">
        <f t="array" ref="E184">IF(INDEX(B:B,ROW())="","",VLOOKUP(INDEX(B:B,ROW()),'Produtos Bazar'!$A$8:$K$107,11,FALSE))</f>
        <v/>
      </c>
      <c r="F184" s="43" t="str">
        <f t="shared" si="1"/>
        <v/>
      </c>
      <c r="G184" s="32"/>
      <c r="H184" s="32"/>
      <c r="I184" s="32"/>
      <c r="J184" s="32"/>
    </row>
    <row r="185">
      <c r="A185" s="31"/>
      <c r="B185" s="32"/>
      <c r="C185" s="35" t="str">
        <f t="array" ref="C185">IF(INDEX(B:B,ROW())="","",VLOOKUP(INDEX(B:B,ROW()),'Produtos Bazar'!$A$8:$K$107,2,FALSE))</f>
        <v/>
      </c>
      <c r="D185" s="37"/>
      <c r="E185" s="43" t="str">
        <f t="array" ref="E185">IF(INDEX(B:B,ROW())="","",VLOOKUP(INDEX(B:B,ROW()),'Produtos Bazar'!$A$8:$K$107,11,FALSE))</f>
        <v/>
      </c>
      <c r="F185" s="43" t="str">
        <f t="shared" si="1"/>
        <v/>
      </c>
      <c r="G185" s="32"/>
      <c r="H185" s="32"/>
      <c r="I185" s="32"/>
      <c r="J185" s="32"/>
    </row>
    <row r="186">
      <c r="A186" s="31"/>
      <c r="B186" s="32"/>
      <c r="C186" s="35" t="str">
        <f t="array" ref="C186">IF(INDEX(B:B,ROW())="","",VLOOKUP(INDEX(B:B,ROW()),'Produtos Bazar'!$A$8:$K$107,2,FALSE))</f>
        <v/>
      </c>
      <c r="D186" s="37"/>
      <c r="E186" s="43" t="str">
        <f t="array" ref="E186">IF(INDEX(B:B,ROW())="","",VLOOKUP(INDEX(B:B,ROW()),'Produtos Bazar'!$A$8:$K$107,11,FALSE))</f>
        <v/>
      </c>
      <c r="F186" s="43" t="str">
        <f t="shared" si="1"/>
        <v/>
      </c>
      <c r="G186" s="32"/>
      <c r="H186" s="32"/>
      <c r="I186" s="32"/>
      <c r="J186" s="32"/>
    </row>
    <row r="187">
      <c r="A187" s="31"/>
      <c r="B187" s="32"/>
      <c r="C187" s="35" t="str">
        <f t="array" ref="C187">IF(INDEX(B:B,ROW())="","",VLOOKUP(INDEX(B:B,ROW()),'Produtos Bazar'!$A$8:$K$107,2,FALSE))</f>
        <v/>
      </c>
      <c r="D187" s="37"/>
      <c r="E187" s="43" t="str">
        <f t="array" ref="E187">IF(INDEX(B:B,ROW())="","",VLOOKUP(INDEX(B:B,ROW()),'Produtos Bazar'!$A$8:$K$107,11,FALSE))</f>
        <v/>
      </c>
      <c r="F187" s="43" t="str">
        <f t="shared" si="1"/>
        <v/>
      </c>
      <c r="G187" s="32"/>
      <c r="H187" s="32"/>
      <c r="I187" s="32"/>
      <c r="J187" s="32"/>
    </row>
    <row r="188">
      <c r="A188" s="31"/>
      <c r="B188" s="32"/>
      <c r="C188" s="35" t="str">
        <f t="array" ref="C188">IF(INDEX(B:B,ROW())="","",VLOOKUP(INDEX(B:B,ROW()),'Produtos Bazar'!$A$8:$K$107,2,FALSE))</f>
        <v/>
      </c>
      <c r="D188" s="37"/>
      <c r="E188" s="43" t="str">
        <f t="array" ref="E188">IF(INDEX(B:B,ROW())="","",VLOOKUP(INDEX(B:B,ROW()),'Produtos Bazar'!$A$8:$K$107,11,FALSE))</f>
        <v/>
      </c>
      <c r="F188" s="43" t="str">
        <f t="shared" si="1"/>
        <v/>
      </c>
      <c r="G188" s="32"/>
      <c r="H188" s="32"/>
      <c r="I188" s="32"/>
      <c r="J188" s="32"/>
    </row>
    <row r="189">
      <c r="A189" s="31"/>
      <c r="B189" s="32"/>
      <c r="C189" s="35" t="str">
        <f t="array" ref="C189">IF(INDEX(B:B,ROW())="","",VLOOKUP(INDEX(B:B,ROW()),'Produtos Bazar'!$A$8:$K$107,2,FALSE))</f>
        <v/>
      </c>
      <c r="D189" s="37"/>
      <c r="E189" s="43" t="str">
        <f t="array" ref="E189">IF(INDEX(B:B,ROW())="","",VLOOKUP(INDEX(B:B,ROW()),'Produtos Bazar'!$A$8:$K$107,11,FALSE))</f>
        <v/>
      </c>
      <c r="F189" s="43" t="str">
        <f t="shared" si="1"/>
        <v/>
      </c>
      <c r="G189" s="32"/>
      <c r="H189" s="32"/>
      <c r="I189" s="32"/>
      <c r="J189" s="32"/>
    </row>
    <row r="190">
      <c r="A190" s="31"/>
      <c r="B190" s="32"/>
      <c r="C190" s="35" t="str">
        <f t="array" ref="C190">IF(INDEX(B:B,ROW())="","",VLOOKUP(INDEX(B:B,ROW()),'Produtos Bazar'!$A$8:$K$107,2,FALSE))</f>
        <v/>
      </c>
      <c r="D190" s="37"/>
      <c r="E190" s="43" t="str">
        <f t="array" ref="E190">IF(INDEX(B:B,ROW())="","",VLOOKUP(INDEX(B:B,ROW()),'Produtos Bazar'!$A$8:$K$107,11,FALSE))</f>
        <v/>
      </c>
      <c r="F190" s="43" t="str">
        <f t="shared" si="1"/>
        <v/>
      </c>
      <c r="G190" s="32"/>
      <c r="H190" s="32"/>
      <c r="I190" s="32"/>
      <c r="J190" s="32"/>
    </row>
    <row r="191">
      <c r="A191" s="31"/>
      <c r="B191" s="32"/>
      <c r="C191" s="35" t="str">
        <f t="array" ref="C191">IF(INDEX(B:B,ROW())="","",VLOOKUP(INDEX(B:B,ROW()),'Produtos Bazar'!$A$8:$K$107,2,FALSE))</f>
        <v/>
      </c>
      <c r="D191" s="37"/>
      <c r="E191" s="43" t="str">
        <f t="array" ref="E191">IF(INDEX(B:B,ROW())="","",VLOOKUP(INDEX(B:B,ROW()),'Produtos Bazar'!$A$8:$K$107,11,FALSE))</f>
        <v/>
      </c>
      <c r="F191" s="43" t="str">
        <f t="shared" si="1"/>
        <v/>
      </c>
      <c r="G191" s="32"/>
      <c r="H191" s="32"/>
      <c r="I191" s="32"/>
      <c r="J191" s="32"/>
    </row>
    <row r="192">
      <c r="A192" s="31"/>
      <c r="B192" s="32"/>
      <c r="C192" s="35" t="str">
        <f t="array" ref="C192">IF(INDEX(B:B,ROW())="","",VLOOKUP(INDEX(B:B,ROW()),'Produtos Bazar'!$A$8:$K$107,2,FALSE))</f>
        <v/>
      </c>
      <c r="D192" s="37"/>
      <c r="E192" s="43" t="str">
        <f t="array" ref="E192">IF(INDEX(B:B,ROW())="","",VLOOKUP(INDEX(B:B,ROW()),'Produtos Bazar'!$A$8:$K$107,11,FALSE))</f>
        <v/>
      </c>
      <c r="F192" s="43" t="str">
        <f t="shared" si="1"/>
        <v/>
      </c>
      <c r="G192" s="32"/>
      <c r="H192" s="32"/>
      <c r="I192" s="32"/>
      <c r="J192" s="32"/>
    </row>
    <row r="193">
      <c r="A193" s="31"/>
      <c r="B193" s="32"/>
      <c r="C193" s="35" t="str">
        <f t="array" ref="C193">IF(INDEX(B:B,ROW())="","",VLOOKUP(INDEX(B:B,ROW()),'Produtos Bazar'!$A$8:$K$107,2,FALSE))</f>
        <v/>
      </c>
      <c r="D193" s="37"/>
      <c r="E193" s="43" t="str">
        <f t="array" ref="E193">IF(INDEX(B:B,ROW())="","",VLOOKUP(INDEX(B:B,ROW()),'Produtos Bazar'!$A$8:$K$107,11,FALSE))</f>
        <v/>
      </c>
      <c r="F193" s="43" t="str">
        <f t="shared" si="1"/>
        <v/>
      </c>
      <c r="G193" s="32"/>
      <c r="H193" s="32"/>
      <c r="I193" s="32"/>
      <c r="J193" s="32"/>
    </row>
    <row r="194">
      <c r="A194" s="31"/>
      <c r="B194" s="32"/>
      <c r="C194" s="35" t="str">
        <f t="array" ref="C194">IF(INDEX(B:B,ROW())="","",VLOOKUP(INDEX(B:B,ROW()),'Produtos Bazar'!$A$8:$K$107,2,FALSE))</f>
        <v/>
      </c>
      <c r="D194" s="37"/>
      <c r="E194" s="43" t="str">
        <f t="array" ref="E194">IF(INDEX(B:B,ROW())="","",VLOOKUP(INDEX(B:B,ROW()),'Produtos Bazar'!$A$8:$K$107,11,FALSE))</f>
        <v/>
      </c>
      <c r="F194" s="43" t="str">
        <f t="shared" si="1"/>
        <v/>
      </c>
      <c r="G194" s="32"/>
      <c r="H194" s="32"/>
      <c r="I194" s="32"/>
      <c r="J194" s="32"/>
    </row>
    <row r="195">
      <c r="A195" s="31"/>
      <c r="B195" s="32"/>
      <c r="C195" s="35" t="str">
        <f t="array" ref="C195">IF(INDEX(B:B,ROW())="","",VLOOKUP(INDEX(B:B,ROW()),'Produtos Bazar'!$A$8:$K$107,2,FALSE))</f>
        <v/>
      </c>
      <c r="D195" s="37"/>
      <c r="E195" s="43" t="str">
        <f t="array" ref="E195">IF(INDEX(B:B,ROW())="","",VLOOKUP(INDEX(B:B,ROW()),'Produtos Bazar'!$A$8:$K$107,11,FALSE))</f>
        <v/>
      </c>
      <c r="F195" s="43" t="str">
        <f t="shared" si="1"/>
        <v/>
      </c>
      <c r="G195" s="32"/>
      <c r="H195" s="32"/>
      <c r="I195" s="32"/>
      <c r="J195" s="32"/>
    </row>
    <row r="196">
      <c r="A196" s="31"/>
      <c r="B196" s="32"/>
      <c r="C196" s="35" t="str">
        <f t="array" ref="C196">IF(INDEX(B:B,ROW())="","",VLOOKUP(INDEX(B:B,ROW()),'Produtos Bazar'!$A$8:$K$107,2,FALSE))</f>
        <v/>
      </c>
      <c r="D196" s="37"/>
      <c r="E196" s="43" t="str">
        <f t="array" ref="E196">IF(INDEX(B:B,ROW())="","",VLOOKUP(INDEX(B:B,ROW()),'Produtos Bazar'!$A$8:$K$107,11,FALSE))</f>
        <v/>
      </c>
      <c r="F196" s="43" t="str">
        <f t="shared" si="1"/>
        <v/>
      </c>
      <c r="G196" s="32"/>
      <c r="H196" s="32"/>
      <c r="I196" s="32"/>
      <c r="J196" s="32"/>
    </row>
    <row r="197">
      <c r="A197" s="31"/>
      <c r="B197" s="32"/>
      <c r="C197" s="35" t="str">
        <f t="array" ref="C197">IF(INDEX(B:B,ROW())="","",VLOOKUP(INDEX(B:B,ROW()),'Produtos Bazar'!$A$8:$K$107,2,FALSE))</f>
        <v/>
      </c>
      <c r="D197" s="37"/>
      <c r="E197" s="43" t="str">
        <f t="array" ref="E197">IF(INDEX(B:B,ROW())="","",VLOOKUP(INDEX(B:B,ROW()),'Produtos Bazar'!$A$8:$K$107,11,FALSE))</f>
        <v/>
      </c>
      <c r="F197" s="43" t="str">
        <f t="shared" si="1"/>
        <v/>
      </c>
      <c r="G197" s="32"/>
      <c r="H197" s="32"/>
      <c r="I197" s="32"/>
      <c r="J197" s="32"/>
    </row>
    <row r="198">
      <c r="A198" s="31"/>
      <c r="B198" s="32"/>
      <c r="C198" s="35" t="str">
        <f t="array" ref="C198">IF(INDEX(B:B,ROW())="","",VLOOKUP(INDEX(B:B,ROW()),'Produtos Bazar'!$A$8:$K$107,2,FALSE))</f>
        <v/>
      </c>
      <c r="D198" s="37"/>
      <c r="E198" s="43" t="str">
        <f t="array" ref="E198">IF(INDEX(B:B,ROW())="","",VLOOKUP(INDEX(B:B,ROW()),'Produtos Bazar'!$A$8:$K$107,11,FALSE))</f>
        <v/>
      </c>
      <c r="F198" s="43" t="str">
        <f t="shared" si="1"/>
        <v/>
      </c>
      <c r="G198" s="32"/>
      <c r="H198" s="32"/>
      <c r="I198" s="32"/>
      <c r="J198" s="32"/>
    </row>
    <row r="199">
      <c r="A199" s="31"/>
      <c r="B199" s="32"/>
      <c r="C199" s="35" t="str">
        <f t="array" ref="C199">IF(INDEX(B:B,ROW())="","",VLOOKUP(INDEX(B:B,ROW()),'Produtos Bazar'!$A$8:$K$107,2,FALSE))</f>
        <v/>
      </c>
      <c r="D199" s="37"/>
      <c r="E199" s="43" t="str">
        <f t="array" ref="E199">IF(INDEX(B:B,ROW())="","",VLOOKUP(INDEX(B:B,ROW()),'Produtos Bazar'!$A$8:$K$107,11,FALSE))</f>
        <v/>
      </c>
      <c r="F199" s="43" t="str">
        <f t="shared" si="1"/>
        <v/>
      </c>
      <c r="G199" s="32"/>
      <c r="H199" s="32"/>
      <c r="I199" s="32"/>
      <c r="J199" s="32"/>
    </row>
    <row r="200">
      <c r="A200" s="31"/>
      <c r="B200" s="32"/>
      <c r="C200" s="35" t="str">
        <f t="array" ref="C200">IF(INDEX(B:B,ROW())="","",VLOOKUP(INDEX(B:B,ROW()),'Produtos Bazar'!$A$8:$K$107,2,FALSE))</f>
        <v/>
      </c>
      <c r="D200" s="37"/>
      <c r="E200" s="43" t="str">
        <f t="array" ref="E200">IF(INDEX(B:B,ROW())="","",VLOOKUP(INDEX(B:B,ROW()),'Produtos Bazar'!$A$8:$K$107,11,FALSE))</f>
        <v/>
      </c>
      <c r="F200" s="43" t="str">
        <f t="shared" si="1"/>
        <v/>
      </c>
      <c r="G200" s="32"/>
      <c r="H200" s="32"/>
      <c r="I200" s="32"/>
      <c r="J200" s="32"/>
    </row>
    <row r="201">
      <c r="A201" s="31"/>
      <c r="B201" s="32"/>
      <c r="C201" s="35" t="str">
        <f t="array" ref="C201">IF(INDEX(B:B,ROW())="","",VLOOKUP(INDEX(B:B,ROW()),'Produtos Bazar'!$A$8:$K$107,2,FALSE))</f>
        <v/>
      </c>
      <c r="D201" s="37"/>
      <c r="E201" s="43" t="str">
        <f t="array" ref="E201">IF(INDEX(B:B,ROW())="","",VLOOKUP(INDEX(B:B,ROW()),'Produtos Bazar'!$A$8:$K$107,11,FALSE))</f>
        <v/>
      </c>
      <c r="F201" s="43" t="str">
        <f t="shared" si="1"/>
        <v/>
      </c>
      <c r="G201" s="32"/>
      <c r="H201" s="32"/>
      <c r="I201" s="32"/>
      <c r="J201" s="32"/>
    </row>
    <row r="202">
      <c r="A202" s="31"/>
      <c r="B202" s="32"/>
      <c r="C202" s="35" t="str">
        <f t="array" ref="C202">IF(INDEX(B:B,ROW())="","",VLOOKUP(INDEX(B:B,ROW()),'Produtos Bazar'!$A$8:$K$107,2,FALSE))</f>
        <v/>
      </c>
      <c r="D202" s="37"/>
      <c r="E202" s="43" t="str">
        <f t="array" ref="E202">IF(INDEX(B:B,ROW())="","",VLOOKUP(INDEX(B:B,ROW()),'Produtos Bazar'!$A$8:$K$107,11,FALSE))</f>
        <v/>
      </c>
      <c r="F202" s="43" t="str">
        <f t="shared" si="1"/>
        <v/>
      </c>
      <c r="G202" s="32"/>
      <c r="H202" s="32"/>
      <c r="I202" s="32"/>
      <c r="J202" s="32"/>
    </row>
    <row r="203">
      <c r="A203" s="31"/>
      <c r="B203" s="32"/>
      <c r="C203" s="35" t="str">
        <f t="array" ref="C203">IF(INDEX(B:B,ROW())="","",VLOOKUP(INDEX(B:B,ROW()),'Produtos Bazar'!$A$8:$K$107,2,FALSE))</f>
        <v/>
      </c>
      <c r="D203" s="37"/>
      <c r="E203" s="43" t="str">
        <f t="array" ref="E203">IF(INDEX(B:B,ROW())="","",VLOOKUP(INDEX(B:B,ROW()),'Produtos Bazar'!$A$8:$K$107,11,FALSE))</f>
        <v/>
      </c>
      <c r="F203" s="43" t="str">
        <f t="shared" si="1"/>
        <v/>
      </c>
      <c r="G203" s="32"/>
      <c r="H203" s="32"/>
      <c r="I203" s="32"/>
      <c r="J203" s="32"/>
    </row>
    <row r="204">
      <c r="A204" s="31"/>
      <c r="B204" s="32"/>
      <c r="C204" s="35" t="str">
        <f t="array" ref="C204">IF(INDEX(B:B,ROW())="","",VLOOKUP(INDEX(B:B,ROW()),'Produtos Bazar'!$A$8:$K$107,2,FALSE))</f>
        <v/>
      </c>
      <c r="D204" s="37"/>
      <c r="E204" s="43" t="str">
        <f t="array" ref="E204">IF(INDEX(B:B,ROW())="","",VLOOKUP(INDEX(B:B,ROW()),'Produtos Bazar'!$A$8:$K$107,11,FALSE))</f>
        <v/>
      </c>
      <c r="F204" s="43" t="str">
        <f t="shared" si="1"/>
        <v/>
      </c>
      <c r="G204" s="32"/>
      <c r="H204" s="32"/>
      <c r="I204" s="32"/>
      <c r="J204" s="32"/>
    </row>
    <row r="205">
      <c r="A205" s="31"/>
      <c r="B205" s="32"/>
      <c r="C205" s="35" t="str">
        <f t="array" ref="C205">IF(INDEX(B:B,ROW())="","",VLOOKUP(INDEX(B:B,ROW()),'Produtos Bazar'!$A$8:$K$107,2,FALSE))</f>
        <v/>
      </c>
      <c r="D205" s="37"/>
      <c r="E205" s="43" t="str">
        <f t="array" ref="E205">IF(INDEX(B:B,ROW())="","",VLOOKUP(INDEX(B:B,ROW()),'Produtos Bazar'!$A$8:$K$107,11,FALSE))</f>
        <v/>
      </c>
      <c r="F205" s="43" t="str">
        <f t="shared" si="1"/>
        <v/>
      </c>
      <c r="G205" s="32"/>
      <c r="H205" s="32"/>
      <c r="I205" s="32"/>
      <c r="J205" s="32"/>
    </row>
    <row r="206">
      <c r="A206" s="31"/>
      <c r="B206" s="32"/>
      <c r="C206" s="35" t="str">
        <f t="array" ref="C206">IF(INDEX(B:B,ROW())="","",VLOOKUP(INDEX(B:B,ROW()),'Produtos Bazar'!$A$8:$K$107,2,FALSE))</f>
        <v/>
      </c>
      <c r="D206" s="37"/>
      <c r="E206" s="43" t="str">
        <f t="array" ref="E206">IF(INDEX(B:B,ROW())="","",VLOOKUP(INDEX(B:B,ROW()),'Produtos Bazar'!$A$8:$K$107,11,FALSE))</f>
        <v/>
      </c>
      <c r="F206" s="43" t="str">
        <f t="shared" si="1"/>
        <v/>
      </c>
      <c r="G206" s="32"/>
      <c r="H206" s="32"/>
      <c r="I206" s="32"/>
      <c r="J206" s="32"/>
    </row>
    <row r="207">
      <c r="A207" s="31"/>
      <c r="B207" s="32"/>
      <c r="C207" s="35" t="str">
        <f t="array" ref="C207">IF(INDEX(B:B,ROW())="","",VLOOKUP(INDEX(B:B,ROW()),'Produtos Bazar'!$A$8:$K$107,2,FALSE))</f>
        <v/>
      </c>
      <c r="D207" s="37"/>
      <c r="E207" s="43" t="str">
        <f t="array" ref="E207">IF(INDEX(B:B,ROW())="","",VLOOKUP(INDEX(B:B,ROW()),'Produtos Bazar'!$A$8:$K$107,11,FALSE))</f>
        <v/>
      </c>
      <c r="F207" s="43" t="str">
        <f t="shared" si="1"/>
        <v/>
      </c>
      <c r="G207" s="32"/>
      <c r="H207" s="32"/>
      <c r="I207" s="32"/>
      <c r="J207" s="32"/>
    </row>
    <row r="208">
      <c r="A208" s="31"/>
      <c r="B208" s="32"/>
      <c r="C208" s="35" t="str">
        <f t="array" ref="C208">IF(INDEX(B:B,ROW())="","",VLOOKUP(INDEX(B:B,ROW()),'Produtos Bazar'!$A$8:$K$107,2,FALSE))</f>
        <v/>
      </c>
      <c r="D208" s="37"/>
      <c r="E208" s="43" t="str">
        <f t="array" ref="E208">IF(INDEX(B:B,ROW())="","",VLOOKUP(INDEX(B:B,ROW()),'Produtos Bazar'!$A$8:$K$107,11,FALSE))</f>
        <v/>
      </c>
      <c r="F208" s="43" t="str">
        <f t="shared" si="1"/>
        <v/>
      </c>
      <c r="G208" s="32"/>
      <c r="H208" s="32"/>
      <c r="I208" s="32"/>
      <c r="J208" s="32"/>
    </row>
    <row r="209">
      <c r="A209" s="31"/>
      <c r="B209" s="32"/>
      <c r="C209" s="35" t="str">
        <f t="array" ref="C209">IF(INDEX(B:B,ROW())="","",VLOOKUP(INDEX(B:B,ROW()),'Produtos Bazar'!$A$8:$K$107,2,FALSE))</f>
        <v/>
      </c>
      <c r="D209" s="37"/>
      <c r="E209" s="43" t="str">
        <f t="array" ref="E209">IF(INDEX(B:B,ROW())="","",VLOOKUP(INDEX(B:B,ROW()),'Produtos Bazar'!$A$8:$K$107,11,FALSE))</f>
        <v/>
      </c>
      <c r="F209" s="43" t="str">
        <f t="shared" si="1"/>
        <v/>
      </c>
      <c r="G209" s="32"/>
      <c r="H209" s="32"/>
      <c r="I209" s="32"/>
      <c r="J209" s="32"/>
    </row>
    <row r="210">
      <c r="A210" s="31"/>
      <c r="B210" s="32"/>
      <c r="C210" s="35" t="str">
        <f t="array" ref="C210">IF(INDEX(B:B,ROW())="","",VLOOKUP(INDEX(B:B,ROW()),'Produtos Bazar'!$A$8:$K$107,2,FALSE))</f>
        <v/>
      </c>
      <c r="D210" s="37"/>
      <c r="E210" s="43" t="str">
        <f t="array" ref="E210">IF(INDEX(B:B,ROW())="","",VLOOKUP(INDEX(B:B,ROW()),'Produtos Bazar'!$A$8:$K$107,11,FALSE))</f>
        <v/>
      </c>
      <c r="F210" s="43" t="str">
        <f t="shared" si="1"/>
        <v/>
      </c>
      <c r="G210" s="32"/>
      <c r="H210" s="32"/>
      <c r="I210" s="32"/>
      <c r="J210" s="32"/>
    </row>
    <row r="211">
      <c r="A211" s="31"/>
      <c r="B211" s="32"/>
      <c r="C211" s="35" t="str">
        <f t="array" ref="C211">IF(INDEX(B:B,ROW())="","",VLOOKUP(INDEX(B:B,ROW()),'Produtos Bazar'!$A$8:$K$107,2,FALSE))</f>
        <v/>
      </c>
      <c r="D211" s="37"/>
      <c r="E211" s="43" t="str">
        <f t="array" ref="E211">IF(INDEX(B:B,ROW())="","",VLOOKUP(INDEX(B:B,ROW()),'Produtos Bazar'!$A$8:$K$107,11,FALSE))</f>
        <v/>
      </c>
      <c r="F211" s="43" t="str">
        <f t="shared" si="1"/>
        <v/>
      </c>
      <c r="G211" s="32"/>
      <c r="H211" s="32"/>
      <c r="I211" s="32"/>
      <c r="J211" s="32"/>
    </row>
    <row r="212">
      <c r="A212" s="31"/>
      <c r="B212" s="32"/>
      <c r="C212" s="35" t="str">
        <f t="array" ref="C212">IF(INDEX(B:B,ROW())="","",VLOOKUP(INDEX(B:B,ROW()),'Produtos Bazar'!$A$8:$K$107,2,FALSE))</f>
        <v/>
      </c>
      <c r="D212" s="37"/>
      <c r="E212" s="43" t="str">
        <f t="array" ref="E212">IF(INDEX(B:B,ROW())="","",VLOOKUP(INDEX(B:B,ROW()),'Produtos Bazar'!$A$8:$K$107,11,FALSE))</f>
        <v/>
      </c>
      <c r="F212" s="43" t="str">
        <f t="shared" si="1"/>
        <v/>
      </c>
      <c r="G212" s="32"/>
      <c r="H212" s="32"/>
      <c r="I212" s="32"/>
      <c r="J212" s="32"/>
    </row>
    <row r="213">
      <c r="A213" s="31"/>
      <c r="B213" s="32"/>
      <c r="C213" s="35" t="str">
        <f t="array" ref="C213">IF(INDEX(B:B,ROW())="","",VLOOKUP(INDEX(B:B,ROW()),'Produtos Bazar'!$A$8:$K$107,2,FALSE))</f>
        <v/>
      </c>
      <c r="D213" s="37"/>
      <c r="E213" s="43" t="str">
        <f t="array" ref="E213">IF(INDEX(B:B,ROW())="","",VLOOKUP(INDEX(B:B,ROW()),'Produtos Bazar'!$A$8:$K$107,11,FALSE))</f>
        <v/>
      </c>
      <c r="F213" s="43" t="str">
        <f t="shared" si="1"/>
        <v/>
      </c>
      <c r="G213" s="32"/>
      <c r="H213" s="32"/>
      <c r="I213" s="32"/>
      <c r="J213" s="32"/>
    </row>
    <row r="214">
      <c r="A214" s="31"/>
      <c r="B214" s="32"/>
      <c r="C214" s="35" t="str">
        <f t="array" ref="C214">IF(INDEX(B:B,ROW())="","",VLOOKUP(INDEX(B:B,ROW()),'Produtos Bazar'!$A$8:$K$107,2,FALSE))</f>
        <v/>
      </c>
      <c r="D214" s="37"/>
      <c r="E214" s="43" t="str">
        <f t="array" ref="E214">IF(INDEX(B:B,ROW())="","",VLOOKUP(INDEX(B:B,ROW()),'Produtos Bazar'!$A$8:$K$107,11,FALSE))</f>
        <v/>
      </c>
      <c r="F214" s="43" t="str">
        <f t="shared" si="1"/>
        <v/>
      </c>
      <c r="G214" s="32"/>
      <c r="H214" s="32"/>
      <c r="I214" s="32"/>
      <c r="J214" s="32"/>
    </row>
    <row r="215">
      <c r="A215" s="31"/>
      <c r="B215" s="32"/>
      <c r="C215" s="35" t="str">
        <f t="array" ref="C215">IF(INDEX(B:B,ROW())="","",VLOOKUP(INDEX(B:B,ROW()),'Produtos Bazar'!$A$8:$K$107,2,FALSE))</f>
        <v/>
      </c>
      <c r="D215" s="37"/>
      <c r="E215" s="43" t="str">
        <f t="array" ref="E215">IF(INDEX(B:B,ROW())="","",VLOOKUP(INDEX(B:B,ROW()),'Produtos Bazar'!$A$8:$K$107,11,FALSE))</f>
        <v/>
      </c>
      <c r="F215" s="43" t="str">
        <f t="shared" si="1"/>
        <v/>
      </c>
      <c r="G215" s="32"/>
      <c r="H215" s="32"/>
      <c r="I215" s="32"/>
      <c r="J215" s="32"/>
    </row>
    <row r="216">
      <c r="A216" s="31"/>
      <c r="B216" s="32"/>
      <c r="C216" s="35" t="str">
        <f t="array" ref="C216">IF(INDEX(B:B,ROW())="","",VLOOKUP(INDEX(B:B,ROW()),'Produtos Bazar'!$A$8:$K$107,2,FALSE))</f>
        <v/>
      </c>
      <c r="D216" s="37"/>
      <c r="E216" s="43" t="str">
        <f t="array" ref="E216">IF(INDEX(B:B,ROW())="","",VLOOKUP(INDEX(B:B,ROW()),'Produtos Bazar'!$A$8:$K$107,11,FALSE))</f>
        <v/>
      </c>
      <c r="F216" s="43" t="str">
        <f t="shared" si="1"/>
        <v/>
      </c>
      <c r="G216" s="32"/>
      <c r="H216" s="32"/>
      <c r="I216" s="32"/>
      <c r="J216" s="32"/>
    </row>
    <row r="217">
      <c r="A217" s="31"/>
      <c r="B217" s="32"/>
      <c r="C217" s="35" t="str">
        <f t="array" ref="C217">IF(INDEX(B:B,ROW())="","",VLOOKUP(INDEX(B:B,ROW()),'Produtos Bazar'!$A$8:$K$107,2,FALSE))</f>
        <v/>
      </c>
      <c r="D217" s="37"/>
      <c r="E217" s="43" t="str">
        <f t="array" ref="E217">IF(INDEX(B:B,ROW())="","",VLOOKUP(INDEX(B:B,ROW()),'Produtos Bazar'!$A$8:$K$107,11,FALSE))</f>
        <v/>
      </c>
      <c r="F217" s="43" t="str">
        <f t="shared" si="1"/>
        <v/>
      </c>
      <c r="G217" s="32"/>
      <c r="H217" s="32"/>
      <c r="I217" s="32"/>
      <c r="J217" s="32"/>
    </row>
    <row r="218">
      <c r="A218" s="31"/>
      <c r="B218" s="32"/>
      <c r="C218" s="35" t="str">
        <f t="array" ref="C218">IF(INDEX(B:B,ROW())="","",VLOOKUP(INDEX(B:B,ROW()),'Produtos Bazar'!$A$8:$K$107,2,FALSE))</f>
        <v/>
      </c>
      <c r="D218" s="37"/>
      <c r="E218" s="43" t="str">
        <f t="array" ref="E218">IF(INDEX(B:B,ROW())="","",VLOOKUP(INDEX(B:B,ROW()),'Produtos Bazar'!$A$8:$K$107,11,FALSE))</f>
        <v/>
      </c>
      <c r="F218" s="43" t="str">
        <f t="shared" si="1"/>
        <v/>
      </c>
      <c r="G218" s="32"/>
      <c r="H218" s="32"/>
      <c r="I218" s="32"/>
      <c r="J218" s="32"/>
    </row>
    <row r="219">
      <c r="A219" s="31"/>
      <c r="B219" s="32"/>
      <c r="C219" s="35" t="str">
        <f t="array" ref="C219">IF(INDEX(B:B,ROW())="","",VLOOKUP(INDEX(B:B,ROW()),'Produtos Bazar'!$A$8:$K$107,2,FALSE))</f>
        <v/>
      </c>
      <c r="D219" s="37"/>
      <c r="E219" s="43" t="str">
        <f t="array" ref="E219">IF(INDEX(B:B,ROW())="","",VLOOKUP(INDEX(B:B,ROW()),'Produtos Bazar'!$A$8:$K$107,11,FALSE))</f>
        <v/>
      </c>
      <c r="F219" s="43" t="str">
        <f t="shared" si="1"/>
        <v/>
      </c>
      <c r="G219" s="32"/>
      <c r="H219" s="32"/>
      <c r="I219" s="32"/>
      <c r="J219" s="32"/>
    </row>
    <row r="220">
      <c r="A220" s="31"/>
      <c r="B220" s="32"/>
      <c r="C220" s="35" t="str">
        <f t="array" ref="C220">IF(INDEX(B:B,ROW())="","",VLOOKUP(INDEX(B:B,ROW()),'Produtos Bazar'!$A$8:$K$107,2,FALSE))</f>
        <v/>
      </c>
      <c r="D220" s="37"/>
      <c r="E220" s="43" t="str">
        <f t="array" ref="E220">IF(INDEX(B:B,ROW())="","",VLOOKUP(INDEX(B:B,ROW()),'Produtos Bazar'!$A$8:$K$107,11,FALSE))</f>
        <v/>
      </c>
      <c r="F220" s="43" t="str">
        <f t="shared" si="1"/>
        <v/>
      </c>
      <c r="G220" s="32"/>
      <c r="H220" s="32"/>
      <c r="I220" s="32"/>
      <c r="J220" s="32"/>
    </row>
    <row r="221">
      <c r="A221" s="31"/>
      <c r="B221" s="32"/>
      <c r="C221" s="35" t="str">
        <f t="array" ref="C221">IF(INDEX(B:B,ROW())="","",VLOOKUP(INDEX(B:B,ROW()),'Produtos Bazar'!$A$8:$K$107,2,FALSE))</f>
        <v/>
      </c>
      <c r="D221" s="37"/>
      <c r="E221" s="43" t="str">
        <f t="array" ref="E221">IF(INDEX(B:B,ROW())="","",VLOOKUP(INDEX(B:B,ROW()),'Produtos Bazar'!$A$8:$K$107,11,FALSE))</f>
        <v/>
      </c>
      <c r="F221" s="43" t="str">
        <f t="shared" si="1"/>
        <v/>
      </c>
      <c r="G221" s="32"/>
      <c r="H221" s="32"/>
      <c r="I221" s="32"/>
      <c r="J221" s="32"/>
    </row>
    <row r="222">
      <c r="A222" s="31"/>
      <c r="B222" s="32"/>
      <c r="C222" s="35" t="str">
        <f t="array" ref="C222">IF(INDEX(B:B,ROW())="","",VLOOKUP(INDEX(B:B,ROW()),'Produtos Bazar'!$A$8:$K$107,2,FALSE))</f>
        <v/>
      </c>
      <c r="D222" s="37"/>
      <c r="E222" s="43" t="str">
        <f t="array" ref="E222">IF(INDEX(B:B,ROW())="","",VLOOKUP(INDEX(B:B,ROW()),'Produtos Bazar'!$A$8:$K$107,11,FALSE))</f>
        <v/>
      </c>
      <c r="F222" s="43" t="str">
        <f t="shared" si="1"/>
        <v/>
      </c>
      <c r="G222" s="32"/>
      <c r="H222" s="32"/>
      <c r="I222" s="32"/>
      <c r="J222" s="32"/>
    </row>
    <row r="223">
      <c r="A223" s="31"/>
      <c r="B223" s="32"/>
      <c r="C223" s="35" t="str">
        <f t="array" ref="C223">IF(INDEX(B:B,ROW())="","",VLOOKUP(INDEX(B:B,ROW()),'Produtos Bazar'!$A$8:$K$107,2,FALSE))</f>
        <v/>
      </c>
      <c r="D223" s="37"/>
      <c r="E223" s="43" t="str">
        <f t="array" ref="E223">IF(INDEX(B:B,ROW())="","",VLOOKUP(INDEX(B:B,ROW()),'Produtos Bazar'!$A$8:$K$107,11,FALSE))</f>
        <v/>
      </c>
      <c r="F223" s="43" t="str">
        <f t="shared" si="1"/>
        <v/>
      </c>
      <c r="G223" s="32"/>
      <c r="H223" s="32"/>
      <c r="I223" s="32"/>
      <c r="J223" s="32"/>
    </row>
    <row r="224">
      <c r="A224" s="31"/>
      <c r="B224" s="32"/>
      <c r="C224" s="35" t="str">
        <f t="array" ref="C224">IF(INDEX(B:B,ROW())="","",VLOOKUP(INDEX(B:B,ROW()),'Produtos Bazar'!$A$8:$K$107,2,FALSE))</f>
        <v/>
      </c>
      <c r="D224" s="37"/>
      <c r="E224" s="43" t="str">
        <f t="array" ref="E224">IF(INDEX(B:B,ROW())="","",VLOOKUP(INDEX(B:B,ROW()),'Produtos Bazar'!$A$8:$K$107,11,FALSE))</f>
        <v/>
      </c>
      <c r="F224" s="43" t="str">
        <f t="shared" si="1"/>
        <v/>
      </c>
      <c r="G224" s="32"/>
      <c r="H224" s="32"/>
      <c r="I224" s="32"/>
      <c r="J224" s="32"/>
    </row>
    <row r="225">
      <c r="A225" s="31"/>
      <c r="B225" s="32"/>
      <c r="C225" s="35" t="str">
        <f t="array" ref="C225">IF(INDEX(B:B,ROW())="","",VLOOKUP(INDEX(B:B,ROW()),'Produtos Bazar'!$A$8:$K$107,2,FALSE))</f>
        <v/>
      </c>
      <c r="D225" s="37"/>
      <c r="E225" s="43" t="str">
        <f t="array" ref="E225">IF(INDEX(B:B,ROW())="","",VLOOKUP(INDEX(B:B,ROW()),'Produtos Bazar'!$A$8:$K$107,11,FALSE))</f>
        <v/>
      </c>
      <c r="F225" s="43" t="str">
        <f t="shared" si="1"/>
        <v/>
      </c>
      <c r="G225" s="32"/>
      <c r="H225" s="32"/>
      <c r="I225" s="32"/>
      <c r="J225" s="32"/>
    </row>
    <row r="226">
      <c r="A226" s="31"/>
      <c r="B226" s="32"/>
      <c r="C226" s="35" t="str">
        <f t="array" ref="C226">IF(INDEX(B:B,ROW())="","",VLOOKUP(INDEX(B:B,ROW()),'Produtos Bazar'!$A$8:$K$107,2,FALSE))</f>
        <v/>
      </c>
      <c r="D226" s="37"/>
      <c r="E226" s="43" t="str">
        <f t="array" ref="E226">IF(INDEX(B:B,ROW())="","",VLOOKUP(INDEX(B:B,ROW()),'Produtos Bazar'!$A$8:$K$107,11,FALSE))</f>
        <v/>
      </c>
      <c r="F226" s="43" t="str">
        <f t="shared" si="1"/>
        <v/>
      </c>
      <c r="G226" s="32"/>
      <c r="H226" s="32"/>
      <c r="I226" s="32"/>
      <c r="J226" s="32"/>
    </row>
    <row r="227">
      <c r="A227" s="31"/>
      <c r="B227" s="32"/>
      <c r="C227" s="35" t="str">
        <f t="array" ref="C227">IF(INDEX(B:B,ROW())="","",VLOOKUP(INDEX(B:B,ROW()),'Produtos Bazar'!$A$8:$K$107,2,FALSE))</f>
        <v/>
      </c>
      <c r="D227" s="37"/>
      <c r="E227" s="43" t="str">
        <f t="array" ref="E227">IF(INDEX(B:B,ROW())="","",VLOOKUP(INDEX(B:B,ROW()),'Produtos Bazar'!$A$8:$K$107,11,FALSE))</f>
        <v/>
      </c>
      <c r="F227" s="43" t="str">
        <f t="shared" si="1"/>
        <v/>
      </c>
      <c r="G227" s="32"/>
      <c r="H227" s="32"/>
      <c r="I227" s="32"/>
      <c r="J227" s="32"/>
    </row>
    <row r="228">
      <c r="A228" s="31"/>
      <c r="B228" s="32"/>
      <c r="C228" s="35" t="str">
        <f t="array" ref="C228">IF(INDEX(B:B,ROW())="","",VLOOKUP(INDEX(B:B,ROW()),'Produtos Bazar'!$A$8:$K$107,2,FALSE))</f>
        <v/>
      </c>
      <c r="D228" s="37"/>
      <c r="E228" s="43" t="str">
        <f t="array" ref="E228">IF(INDEX(B:B,ROW())="","",VLOOKUP(INDEX(B:B,ROW()),'Produtos Bazar'!$A$8:$K$107,11,FALSE))</f>
        <v/>
      </c>
      <c r="F228" s="43" t="str">
        <f t="shared" si="1"/>
        <v/>
      </c>
      <c r="G228" s="32"/>
      <c r="H228" s="32"/>
      <c r="I228" s="32"/>
      <c r="J228" s="32"/>
    </row>
    <row r="229">
      <c r="A229" s="31"/>
      <c r="B229" s="32"/>
      <c r="C229" s="35" t="str">
        <f t="array" ref="C229">IF(INDEX(B:B,ROW())="","",VLOOKUP(INDEX(B:B,ROW()),'Produtos Bazar'!$A$8:$K$107,2,FALSE))</f>
        <v/>
      </c>
      <c r="D229" s="37"/>
      <c r="E229" s="43" t="str">
        <f t="array" ref="E229">IF(INDEX(B:B,ROW())="","",VLOOKUP(INDEX(B:B,ROW()),'Produtos Bazar'!$A$8:$K$107,11,FALSE))</f>
        <v/>
      </c>
      <c r="F229" s="43" t="str">
        <f t="shared" si="1"/>
        <v/>
      </c>
      <c r="G229" s="32"/>
      <c r="H229" s="32"/>
      <c r="I229" s="32"/>
      <c r="J229" s="32"/>
    </row>
    <row r="230">
      <c r="A230" s="31"/>
      <c r="B230" s="32"/>
      <c r="C230" s="35" t="str">
        <f t="array" ref="C230">IF(INDEX(B:B,ROW())="","",VLOOKUP(INDEX(B:B,ROW()),'Produtos Bazar'!$A$8:$K$107,2,FALSE))</f>
        <v/>
      </c>
      <c r="D230" s="37"/>
      <c r="E230" s="43" t="str">
        <f t="array" ref="E230">IF(INDEX(B:B,ROW())="","",VLOOKUP(INDEX(B:B,ROW()),'Produtos Bazar'!$A$8:$K$107,11,FALSE))</f>
        <v/>
      </c>
      <c r="F230" s="43" t="str">
        <f t="shared" si="1"/>
        <v/>
      </c>
      <c r="G230" s="32"/>
      <c r="H230" s="32"/>
      <c r="I230" s="32"/>
      <c r="J230" s="32"/>
    </row>
    <row r="231">
      <c r="A231" s="31"/>
      <c r="B231" s="32"/>
      <c r="C231" s="35" t="str">
        <f t="array" ref="C231">IF(INDEX(B:B,ROW())="","",VLOOKUP(INDEX(B:B,ROW()),'Produtos Bazar'!$A$8:$K$107,2,FALSE))</f>
        <v/>
      </c>
      <c r="D231" s="37"/>
      <c r="E231" s="43" t="str">
        <f t="array" ref="E231">IF(INDEX(B:B,ROW())="","",VLOOKUP(INDEX(B:B,ROW()),'Produtos Bazar'!$A$8:$K$107,11,FALSE))</f>
        <v/>
      </c>
      <c r="F231" s="43" t="str">
        <f t="shared" si="1"/>
        <v/>
      </c>
      <c r="G231" s="32"/>
      <c r="H231" s="32"/>
      <c r="I231" s="32"/>
      <c r="J231" s="32"/>
    </row>
    <row r="232">
      <c r="A232" s="31"/>
      <c r="B232" s="32"/>
      <c r="C232" s="35" t="str">
        <f t="array" ref="C232">IF(INDEX(B:B,ROW())="","",VLOOKUP(INDEX(B:B,ROW()),'Produtos Bazar'!$A$8:$K$107,2,FALSE))</f>
        <v/>
      </c>
      <c r="D232" s="37"/>
      <c r="E232" s="43" t="str">
        <f t="array" ref="E232">IF(INDEX(B:B,ROW())="","",VLOOKUP(INDEX(B:B,ROW()),'Produtos Bazar'!$A$8:$K$107,11,FALSE))</f>
        <v/>
      </c>
      <c r="F232" s="43" t="str">
        <f t="shared" si="1"/>
        <v/>
      </c>
      <c r="G232" s="32"/>
      <c r="H232" s="32"/>
      <c r="I232" s="32"/>
      <c r="J232" s="32"/>
    </row>
    <row r="233">
      <c r="A233" s="31"/>
      <c r="B233" s="32"/>
      <c r="C233" s="35" t="str">
        <f t="array" ref="C233">IF(INDEX(B:B,ROW())="","",VLOOKUP(INDEX(B:B,ROW()),'Produtos Bazar'!$A$8:$K$107,2,FALSE))</f>
        <v/>
      </c>
      <c r="D233" s="37"/>
      <c r="E233" s="43" t="str">
        <f t="array" ref="E233">IF(INDEX(B:B,ROW())="","",VLOOKUP(INDEX(B:B,ROW()),'Produtos Bazar'!$A$8:$K$107,11,FALSE))</f>
        <v/>
      </c>
      <c r="F233" s="43" t="str">
        <f t="shared" si="1"/>
        <v/>
      </c>
      <c r="G233" s="32"/>
      <c r="H233" s="32"/>
      <c r="I233" s="32"/>
      <c r="J233" s="32"/>
    </row>
    <row r="234">
      <c r="A234" s="31"/>
      <c r="B234" s="32"/>
      <c r="C234" s="35" t="str">
        <f t="array" ref="C234">IF(INDEX(B:B,ROW())="","",VLOOKUP(INDEX(B:B,ROW()),'Produtos Bazar'!$A$8:$K$107,2,FALSE))</f>
        <v/>
      </c>
      <c r="D234" s="37"/>
      <c r="E234" s="43" t="str">
        <f t="array" ref="E234">IF(INDEX(B:B,ROW())="","",VLOOKUP(INDEX(B:B,ROW()),'Produtos Bazar'!$A$8:$K$107,11,FALSE))</f>
        <v/>
      </c>
      <c r="F234" s="43" t="str">
        <f t="shared" si="1"/>
        <v/>
      </c>
      <c r="G234" s="32"/>
      <c r="H234" s="32"/>
      <c r="I234" s="32"/>
      <c r="J234" s="32"/>
    </row>
    <row r="235">
      <c r="A235" s="31"/>
      <c r="B235" s="32"/>
      <c r="C235" s="35" t="str">
        <f t="array" ref="C235">IF(INDEX(B:B,ROW())="","",VLOOKUP(INDEX(B:B,ROW()),'Produtos Bazar'!$A$8:$K$107,2,FALSE))</f>
        <v/>
      </c>
      <c r="D235" s="37"/>
      <c r="E235" s="43" t="str">
        <f t="array" ref="E235">IF(INDEX(B:B,ROW())="","",VLOOKUP(INDEX(B:B,ROW()),'Produtos Bazar'!$A$8:$K$107,11,FALSE))</f>
        <v/>
      </c>
      <c r="F235" s="43" t="str">
        <f t="shared" si="1"/>
        <v/>
      </c>
      <c r="G235" s="32"/>
      <c r="H235" s="32"/>
      <c r="I235" s="32"/>
      <c r="J235" s="32"/>
    </row>
    <row r="236">
      <c r="A236" s="31"/>
      <c r="B236" s="32"/>
      <c r="C236" s="35" t="str">
        <f t="array" ref="C236">IF(INDEX(B:B,ROW())="","",VLOOKUP(INDEX(B:B,ROW()),'Produtos Bazar'!$A$8:$K$107,2,FALSE))</f>
        <v/>
      </c>
      <c r="D236" s="37"/>
      <c r="E236" s="43" t="str">
        <f t="array" ref="E236">IF(INDEX(B:B,ROW())="","",VLOOKUP(INDEX(B:B,ROW()),'Produtos Bazar'!$A$8:$K$107,11,FALSE))</f>
        <v/>
      </c>
      <c r="F236" s="43" t="str">
        <f t="shared" si="1"/>
        <v/>
      </c>
      <c r="G236" s="32"/>
      <c r="H236" s="32"/>
      <c r="I236" s="32"/>
      <c r="J236" s="32"/>
    </row>
    <row r="237">
      <c r="A237" s="31"/>
      <c r="B237" s="32"/>
      <c r="C237" s="35" t="str">
        <f t="array" ref="C237">IF(INDEX(B:B,ROW())="","",VLOOKUP(INDEX(B:B,ROW()),'Produtos Bazar'!$A$8:$K$107,2,FALSE))</f>
        <v/>
      </c>
      <c r="D237" s="37"/>
      <c r="E237" s="43" t="str">
        <f t="array" ref="E237">IF(INDEX(B:B,ROW())="","",VLOOKUP(INDEX(B:B,ROW()),'Produtos Bazar'!$A$8:$K$107,11,FALSE))</f>
        <v/>
      </c>
      <c r="F237" s="43" t="str">
        <f t="shared" si="1"/>
        <v/>
      </c>
      <c r="G237" s="32"/>
      <c r="H237" s="32"/>
      <c r="I237" s="32"/>
      <c r="J237" s="32"/>
    </row>
    <row r="238">
      <c r="A238" s="31"/>
      <c r="B238" s="32"/>
      <c r="C238" s="35" t="str">
        <f t="array" ref="C238">IF(INDEX(B:B,ROW())="","",VLOOKUP(INDEX(B:B,ROW()),'Produtos Bazar'!$A$8:$K$107,2,FALSE))</f>
        <v/>
      </c>
      <c r="D238" s="37"/>
      <c r="E238" s="43" t="str">
        <f t="array" ref="E238">IF(INDEX(B:B,ROW())="","",VLOOKUP(INDEX(B:B,ROW()),'Produtos Bazar'!$A$8:$K$107,11,FALSE))</f>
        <v/>
      </c>
      <c r="F238" s="43" t="str">
        <f t="shared" si="1"/>
        <v/>
      </c>
      <c r="G238" s="32"/>
      <c r="H238" s="32"/>
      <c r="I238" s="32"/>
      <c r="J238" s="32"/>
    </row>
    <row r="239">
      <c r="A239" s="31"/>
      <c r="B239" s="32"/>
      <c r="C239" s="35" t="str">
        <f t="array" ref="C239">IF(INDEX(B:B,ROW())="","",VLOOKUP(INDEX(B:B,ROW()),'Produtos Bazar'!$A$8:$K$107,2,FALSE))</f>
        <v/>
      </c>
      <c r="D239" s="37"/>
      <c r="E239" s="43" t="str">
        <f t="array" ref="E239">IF(INDEX(B:B,ROW())="","",VLOOKUP(INDEX(B:B,ROW()),'Produtos Bazar'!$A$8:$K$107,11,FALSE))</f>
        <v/>
      </c>
      <c r="F239" s="43" t="str">
        <f t="shared" si="1"/>
        <v/>
      </c>
      <c r="G239" s="32"/>
      <c r="H239" s="32"/>
      <c r="I239" s="32"/>
      <c r="J239" s="32"/>
    </row>
    <row r="240">
      <c r="A240" s="31"/>
      <c r="B240" s="32"/>
      <c r="C240" s="35" t="str">
        <f t="array" ref="C240">IF(INDEX(B:B,ROW())="","",VLOOKUP(INDEX(B:B,ROW()),'Produtos Bazar'!$A$8:$K$107,2,FALSE))</f>
        <v/>
      </c>
      <c r="D240" s="37"/>
      <c r="E240" s="43" t="str">
        <f t="array" ref="E240">IF(INDEX(B:B,ROW())="","",VLOOKUP(INDEX(B:B,ROW()),'Produtos Bazar'!$A$8:$K$107,11,FALSE))</f>
        <v/>
      </c>
      <c r="F240" s="43" t="str">
        <f t="shared" si="1"/>
        <v/>
      </c>
      <c r="G240" s="32"/>
      <c r="H240" s="32"/>
      <c r="I240" s="32"/>
      <c r="J240" s="32"/>
    </row>
    <row r="241">
      <c r="A241" s="31"/>
      <c r="B241" s="32"/>
      <c r="C241" s="35" t="str">
        <f t="array" ref="C241">IF(INDEX(B:B,ROW())="","",VLOOKUP(INDEX(B:B,ROW()),'Produtos Bazar'!$A$8:$K$107,2,FALSE))</f>
        <v/>
      </c>
      <c r="D241" s="37"/>
      <c r="E241" s="43" t="str">
        <f t="array" ref="E241">IF(INDEX(B:B,ROW())="","",VLOOKUP(INDEX(B:B,ROW()),'Produtos Bazar'!$A$8:$K$107,11,FALSE))</f>
        <v/>
      </c>
      <c r="F241" s="43" t="str">
        <f t="shared" si="1"/>
        <v/>
      </c>
      <c r="G241" s="32"/>
      <c r="H241" s="32"/>
      <c r="I241" s="32"/>
      <c r="J241" s="32"/>
    </row>
    <row r="242">
      <c r="A242" s="31"/>
      <c r="B242" s="32"/>
      <c r="C242" s="35" t="str">
        <f t="array" ref="C242">IF(INDEX(B:B,ROW())="","",VLOOKUP(INDEX(B:B,ROW()),'Produtos Bazar'!$A$8:$K$107,2,FALSE))</f>
        <v/>
      </c>
      <c r="D242" s="37"/>
      <c r="E242" s="43" t="str">
        <f t="array" ref="E242">IF(INDEX(B:B,ROW())="","",VLOOKUP(INDEX(B:B,ROW()),'Produtos Bazar'!$A$8:$K$107,11,FALSE))</f>
        <v/>
      </c>
      <c r="F242" s="43" t="str">
        <f t="shared" si="1"/>
        <v/>
      </c>
      <c r="G242" s="32"/>
      <c r="H242" s="32"/>
      <c r="I242" s="32"/>
      <c r="J242" s="32"/>
    </row>
    <row r="243">
      <c r="A243" s="31"/>
      <c r="B243" s="32"/>
      <c r="C243" s="35" t="str">
        <f t="array" ref="C243">IF(INDEX(B:B,ROW())="","",VLOOKUP(INDEX(B:B,ROW()),'Produtos Bazar'!$A$8:$K$107,2,FALSE))</f>
        <v/>
      </c>
      <c r="D243" s="37"/>
      <c r="E243" s="43" t="str">
        <f t="array" ref="E243">IF(INDEX(B:B,ROW())="","",VLOOKUP(INDEX(B:B,ROW()),'Produtos Bazar'!$A$8:$K$107,11,FALSE))</f>
        <v/>
      </c>
      <c r="F243" s="43" t="str">
        <f t="shared" si="1"/>
        <v/>
      </c>
      <c r="G243" s="32"/>
      <c r="H243" s="32"/>
      <c r="I243" s="32"/>
      <c r="J243" s="32"/>
    </row>
    <row r="244">
      <c r="A244" s="31"/>
      <c r="B244" s="32"/>
      <c r="C244" s="35" t="str">
        <f t="array" ref="C244">IF(INDEX(B:B,ROW())="","",VLOOKUP(INDEX(B:B,ROW()),'Produtos Bazar'!$A$8:$K$107,2,FALSE))</f>
        <v/>
      </c>
      <c r="D244" s="37"/>
      <c r="E244" s="43" t="str">
        <f t="array" ref="E244">IF(INDEX(B:B,ROW())="","",VLOOKUP(INDEX(B:B,ROW()),'Produtos Bazar'!$A$8:$K$107,11,FALSE))</f>
        <v/>
      </c>
      <c r="F244" s="43" t="str">
        <f t="shared" si="1"/>
        <v/>
      </c>
      <c r="G244" s="32"/>
      <c r="H244" s="32"/>
      <c r="I244" s="32"/>
      <c r="J244" s="32"/>
    </row>
    <row r="245">
      <c r="A245" s="31"/>
      <c r="B245" s="32"/>
      <c r="C245" s="35" t="str">
        <f t="array" ref="C245">IF(INDEX(B:B,ROW())="","",VLOOKUP(INDEX(B:B,ROW()),'Produtos Bazar'!$A$8:$K$107,2,FALSE))</f>
        <v/>
      </c>
      <c r="D245" s="37"/>
      <c r="E245" s="43" t="str">
        <f t="array" ref="E245">IF(INDEX(B:B,ROW())="","",VLOOKUP(INDEX(B:B,ROW()),'Produtos Bazar'!$A$8:$K$107,11,FALSE))</f>
        <v/>
      </c>
      <c r="F245" s="43" t="str">
        <f t="shared" si="1"/>
        <v/>
      </c>
      <c r="G245" s="32"/>
      <c r="H245" s="32"/>
      <c r="I245" s="32"/>
      <c r="J245" s="32"/>
    </row>
    <row r="246">
      <c r="A246" s="31"/>
      <c r="B246" s="32"/>
      <c r="C246" s="35" t="str">
        <f t="array" ref="C246">IF(INDEX(B:B,ROW())="","",VLOOKUP(INDEX(B:B,ROW()),'Produtos Bazar'!$A$8:$K$107,2,FALSE))</f>
        <v/>
      </c>
      <c r="D246" s="37"/>
      <c r="E246" s="43" t="str">
        <f t="array" ref="E246">IF(INDEX(B:B,ROW())="","",VLOOKUP(INDEX(B:B,ROW()),'Produtos Bazar'!$A$8:$K$107,11,FALSE))</f>
        <v/>
      </c>
      <c r="F246" s="43" t="str">
        <f t="shared" si="1"/>
        <v/>
      </c>
      <c r="G246" s="32"/>
      <c r="H246" s="32"/>
      <c r="I246" s="32"/>
      <c r="J246" s="32"/>
    </row>
    <row r="247">
      <c r="A247" s="31"/>
      <c r="B247" s="32"/>
      <c r="C247" s="35" t="str">
        <f t="array" ref="C247">IF(INDEX(B:B,ROW())="","",VLOOKUP(INDEX(B:B,ROW()),'Produtos Bazar'!$A$8:$K$107,2,FALSE))</f>
        <v/>
      </c>
      <c r="D247" s="37"/>
      <c r="E247" s="43" t="str">
        <f t="array" ref="E247">IF(INDEX(B:B,ROW())="","",VLOOKUP(INDEX(B:B,ROW()),'Produtos Bazar'!$A$8:$K$107,11,FALSE))</f>
        <v/>
      </c>
      <c r="F247" s="43" t="str">
        <f t="shared" si="1"/>
        <v/>
      </c>
      <c r="G247" s="32"/>
      <c r="H247" s="32"/>
      <c r="I247" s="32"/>
      <c r="J247" s="32"/>
    </row>
    <row r="248">
      <c r="A248" s="31"/>
      <c r="B248" s="32"/>
      <c r="C248" s="35" t="str">
        <f t="array" ref="C248">IF(INDEX(B:B,ROW())="","",VLOOKUP(INDEX(B:B,ROW()),'Produtos Bazar'!$A$8:$K$107,2,FALSE))</f>
        <v/>
      </c>
      <c r="D248" s="37"/>
      <c r="E248" s="43" t="str">
        <f t="array" ref="E248">IF(INDEX(B:B,ROW())="","",VLOOKUP(INDEX(B:B,ROW()),'Produtos Bazar'!$A$8:$K$107,11,FALSE))</f>
        <v/>
      </c>
      <c r="F248" s="43" t="str">
        <f t="shared" si="1"/>
        <v/>
      </c>
      <c r="G248" s="32"/>
      <c r="H248" s="32"/>
      <c r="I248" s="32"/>
      <c r="J248" s="32"/>
    </row>
    <row r="249">
      <c r="A249" s="31"/>
      <c r="B249" s="32"/>
      <c r="C249" s="35" t="str">
        <f t="array" ref="C249">IF(INDEX(B:B,ROW())="","",VLOOKUP(INDEX(B:B,ROW()),'Produtos Bazar'!$A$8:$K$107,2,FALSE))</f>
        <v/>
      </c>
      <c r="D249" s="37"/>
      <c r="E249" s="43" t="str">
        <f t="array" ref="E249">IF(INDEX(B:B,ROW())="","",VLOOKUP(INDEX(B:B,ROW()),'Produtos Bazar'!$A$8:$K$107,11,FALSE))</f>
        <v/>
      </c>
      <c r="F249" s="43" t="str">
        <f t="shared" si="1"/>
        <v/>
      </c>
      <c r="G249" s="32"/>
      <c r="H249" s="32"/>
      <c r="I249" s="32"/>
      <c r="J249" s="32"/>
    </row>
    <row r="250">
      <c r="A250" s="31"/>
      <c r="B250" s="32"/>
      <c r="C250" s="35" t="str">
        <f t="array" ref="C250">IF(INDEX(B:B,ROW())="","",VLOOKUP(INDEX(B:B,ROW()),'Produtos Bazar'!$A$8:$K$107,2,FALSE))</f>
        <v/>
      </c>
      <c r="D250" s="37"/>
      <c r="E250" s="43" t="str">
        <f t="array" ref="E250">IF(INDEX(B:B,ROW())="","",VLOOKUP(INDEX(B:B,ROW()),'Produtos Bazar'!$A$8:$K$107,11,FALSE))</f>
        <v/>
      </c>
      <c r="F250" s="43" t="str">
        <f t="shared" si="1"/>
        <v/>
      </c>
      <c r="G250" s="32"/>
      <c r="H250" s="32"/>
      <c r="I250" s="32"/>
      <c r="J250" s="32"/>
    </row>
    <row r="251">
      <c r="A251" s="31"/>
      <c r="B251" s="32"/>
      <c r="C251" s="35" t="str">
        <f t="array" ref="C251">IF(INDEX(B:B,ROW())="","",VLOOKUP(INDEX(B:B,ROW()),'Produtos Bazar'!$A$8:$K$107,2,FALSE))</f>
        <v/>
      </c>
      <c r="D251" s="37"/>
      <c r="E251" s="43" t="str">
        <f t="array" ref="E251">IF(INDEX(B:B,ROW())="","",VLOOKUP(INDEX(B:B,ROW()),'Produtos Bazar'!$A$8:$K$107,11,FALSE))</f>
        <v/>
      </c>
      <c r="F251" s="43" t="str">
        <f t="shared" si="1"/>
        <v/>
      </c>
      <c r="G251" s="32"/>
      <c r="H251" s="32"/>
      <c r="I251" s="32"/>
      <c r="J251" s="32"/>
    </row>
    <row r="252">
      <c r="A252" s="31"/>
      <c r="B252" s="32"/>
      <c r="C252" s="35" t="str">
        <f t="array" ref="C252">IF(INDEX(B:B,ROW())="","",VLOOKUP(INDEX(B:B,ROW()),'Produtos Bazar'!$A$8:$K$107,2,FALSE))</f>
        <v/>
      </c>
      <c r="D252" s="37"/>
      <c r="E252" s="43" t="str">
        <f t="array" ref="E252">IF(INDEX(B:B,ROW())="","",VLOOKUP(INDEX(B:B,ROW()),'Produtos Bazar'!$A$8:$K$107,11,FALSE))</f>
        <v/>
      </c>
      <c r="F252" s="43" t="str">
        <f t="shared" si="1"/>
        <v/>
      </c>
      <c r="G252" s="32"/>
      <c r="H252" s="32"/>
      <c r="I252" s="32"/>
      <c r="J252" s="32"/>
    </row>
    <row r="253">
      <c r="A253" s="31"/>
      <c r="B253" s="32"/>
      <c r="C253" s="35" t="str">
        <f t="array" ref="C253">IF(INDEX(B:B,ROW())="","",VLOOKUP(INDEX(B:B,ROW()),'Produtos Bazar'!$A$8:$K$107,2,FALSE))</f>
        <v/>
      </c>
      <c r="D253" s="37"/>
      <c r="E253" s="43" t="str">
        <f t="array" ref="E253">IF(INDEX(B:B,ROW())="","",VLOOKUP(INDEX(B:B,ROW()),'Produtos Bazar'!$A$8:$K$107,11,FALSE))</f>
        <v/>
      </c>
      <c r="F253" s="43" t="str">
        <f t="shared" si="1"/>
        <v/>
      </c>
      <c r="G253" s="32"/>
      <c r="H253" s="32"/>
      <c r="I253" s="32"/>
      <c r="J253" s="32"/>
    </row>
    <row r="254">
      <c r="A254" s="31"/>
      <c r="B254" s="32"/>
      <c r="C254" s="35" t="str">
        <f t="array" ref="C254">IF(INDEX(B:B,ROW())="","",VLOOKUP(INDEX(B:B,ROW()),'Produtos Bazar'!$A$8:$K$107,2,FALSE))</f>
        <v/>
      </c>
      <c r="D254" s="37"/>
      <c r="E254" s="43" t="str">
        <f t="array" ref="E254">IF(INDEX(B:B,ROW())="","",VLOOKUP(INDEX(B:B,ROW()),'Produtos Bazar'!$A$8:$K$107,11,FALSE))</f>
        <v/>
      </c>
      <c r="F254" s="43" t="str">
        <f t="shared" si="1"/>
        <v/>
      </c>
      <c r="G254" s="32"/>
      <c r="H254" s="32"/>
      <c r="I254" s="32"/>
      <c r="J254" s="32"/>
    </row>
    <row r="255">
      <c r="A255" s="31"/>
      <c r="B255" s="32"/>
      <c r="C255" s="35" t="str">
        <f t="array" ref="C255">IF(INDEX(B:B,ROW())="","",VLOOKUP(INDEX(B:B,ROW()),'Produtos Bazar'!$A$8:$K$107,2,FALSE))</f>
        <v/>
      </c>
      <c r="D255" s="37"/>
      <c r="E255" s="43" t="str">
        <f t="array" ref="E255">IF(INDEX(B:B,ROW())="","",VLOOKUP(INDEX(B:B,ROW()),'Produtos Bazar'!$A$8:$K$107,11,FALSE))</f>
        <v/>
      </c>
      <c r="F255" s="43" t="str">
        <f t="shared" si="1"/>
        <v/>
      </c>
      <c r="G255" s="32"/>
      <c r="H255" s="32"/>
      <c r="I255" s="32"/>
      <c r="J255" s="32"/>
    </row>
    <row r="256">
      <c r="A256" s="31"/>
      <c r="B256" s="32"/>
      <c r="C256" s="35" t="str">
        <f t="array" ref="C256">IF(INDEX(B:B,ROW())="","",VLOOKUP(INDEX(B:B,ROW()),'Produtos Bazar'!$A$8:$K$107,2,FALSE))</f>
        <v/>
      </c>
      <c r="D256" s="37"/>
      <c r="E256" s="43" t="str">
        <f t="array" ref="E256">IF(INDEX(B:B,ROW())="","",VLOOKUP(INDEX(B:B,ROW()),'Produtos Bazar'!$A$8:$K$107,11,FALSE))</f>
        <v/>
      </c>
      <c r="F256" s="43" t="str">
        <f t="shared" si="1"/>
        <v/>
      </c>
      <c r="G256" s="32"/>
      <c r="H256" s="32"/>
      <c r="I256" s="32"/>
      <c r="J256" s="32"/>
    </row>
    <row r="257">
      <c r="A257" s="31"/>
      <c r="B257" s="32"/>
      <c r="C257" s="35" t="str">
        <f t="array" ref="C257">IF(INDEX(B:B,ROW())="","",VLOOKUP(INDEX(B:B,ROW()),'Produtos Bazar'!$A$8:$K$107,2,FALSE))</f>
        <v/>
      </c>
      <c r="D257" s="37"/>
      <c r="E257" s="43" t="str">
        <f t="array" ref="E257">IF(INDEX(B:B,ROW())="","",VLOOKUP(INDEX(B:B,ROW()),'Produtos Bazar'!$A$8:$K$107,11,FALSE))</f>
        <v/>
      </c>
      <c r="F257" s="43" t="str">
        <f t="shared" si="1"/>
        <v/>
      </c>
      <c r="G257" s="32"/>
      <c r="H257" s="32"/>
      <c r="I257" s="32"/>
      <c r="J257" s="32"/>
    </row>
    <row r="258">
      <c r="A258" s="31"/>
      <c r="B258" s="32"/>
      <c r="C258" s="35" t="str">
        <f t="array" ref="C258">IF(INDEX(B:B,ROW())="","",VLOOKUP(INDEX(B:B,ROW()),'Produtos Bazar'!$A$8:$K$107,2,FALSE))</f>
        <v/>
      </c>
      <c r="D258" s="37"/>
      <c r="E258" s="43" t="str">
        <f t="array" ref="E258">IF(INDEX(B:B,ROW())="","",VLOOKUP(INDEX(B:B,ROW()),'Produtos Bazar'!$A$8:$K$107,11,FALSE))</f>
        <v/>
      </c>
      <c r="F258" s="43" t="str">
        <f t="shared" si="1"/>
        <v/>
      </c>
      <c r="G258" s="32"/>
      <c r="H258" s="32"/>
      <c r="I258" s="32"/>
      <c r="J258" s="32"/>
    </row>
    <row r="259">
      <c r="A259" s="31"/>
      <c r="B259" s="32"/>
      <c r="C259" s="35" t="str">
        <f t="array" ref="C259">IF(INDEX(B:B,ROW())="","",VLOOKUP(INDEX(B:B,ROW()),'Produtos Bazar'!$A$8:$K$107,2,FALSE))</f>
        <v/>
      </c>
      <c r="D259" s="37"/>
      <c r="E259" s="43" t="str">
        <f t="array" ref="E259">IF(INDEX(B:B,ROW())="","",VLOOKUP(INDEX(B:B,ROW()),'Produtos Bazar'!$A$8:$K$107,11,FALSE))</f>
        <v/>
      </c>
      <c r="F259" s="43" t="str">
        <f t="shared" si="1"/>
        <v/>
      </c>
      <c r="G259" s="32"/>
      <c r="H259" s="32"/>
      <c r="I259" s="32"/>
      <c r="J259" s="32"/>
    </row>
    <row r="260">
      <c r="A260" s="31"/>
      <c r="B260" s="32"/>
      <c r="C260" s="35" t="str">
        <f t="array" ref="C260">IF(INDEX(B:B,ROW())="","",VLOOKUP(INDEX(B:B,ROW()),'Produtos Bazar'!$A$8:$K$107,2,FALSE))</f>
        <v/>
      </c>
      <c r="D260" s="37"/>
      <c r="E260" s="43" t="str">
        <f t="array" ref="E260">IF(INDEX(B:B,ROW())="","",VLOOKUP(INDEX(B:B,ROW()),'Produtos Bazar'!$A$8:$K$107,11,FALSE))</f>
        <v/>
      </c>
      <c r="F260" s="43" t="str">
        <f t="shared" si="1"/>
        <v/>
      </c>
      <c r="G260" s="32"/>
      <c r="H260" s="32"/>
      <c r="I260" s="32"/>
      <c r="J260" s="32"/>
    </row>
    <row r="261">
      <c r="A261" s="31"/>
      <c r="B261" s="32"/>
      <c r="C261" s="35" t="str">
        <f t="array" ref="C261">IF(INDEX(B:B,ROW())="","",VLOOKUP(INDEX(B:B,ROW()),'Produtos Bazar'!$A$8:$K$107,2,FALSE))</f>
        <v/>
      </c>
      <c r="D261" s="37"/>
      <c r="E261" s="43" t="str">
        <f t="array" ref="E261">IF(INDEX(B:B,ROW())="","",VLOOKUP(INDEX(B:B,ROW()),'Produtos Bazar'!$A$8:$K$107,11,FALSE))</f>
        <v/>
      </c>
      <c r="F261" s="43" t="str">
        <f t="shared" si="1"/>
        <v/>
      </c>
      <c r="G261" s="32"/>
      <c r="H261" s="32"/>
      <c r="I261" s="32"/>
      <c r="J261" s="32"/>
    </row>
    <row r="262">
      <c r="A262" s="31"/>
      <c r="B262" s="32"/>
      <c r="C262" s="35" t="str">
        <f t="array" ref="C262">IF(INDEX(B:B,ROW())="","",VLOOKUP(INDEX(B:B,ROW()),'Produtos Bazar'!$A$8:$K$107,2,FALSE))</f>
        <v/>
      </c>
      <c r="D262" s="37"/>
      <c r="E262" s="43" t="str">
        <f t="array" ref="E262">IF(INDEX(B:B,ROW())="","",VLOOKUP(INDEX(B:B,ROW()),'Produtos Bazar'!$A$8:$K$107,11,FALSE))</f>
        <v/>
      </c>
      <c r="F262" s="43" t="str">
        <f t="shared" si="1"/>
        <v/>
      </c>
      <c r="G262" s="32"/>
      <c r="H262" s="32"/>
      <c r="I262" s="32"/>
      <c r="J262" s="32"/>
    </row>
    <row r="263">
      <c r="A263" s="31"/>
      <c r="B263" s="32"/>
      <c r="C263" s="35" t="str">
        <f t="array" ref="C263">IF(INDEX(B:B,ROW())="","",VLOOKUP(INDEX(B:B,ROW()),'Produtos Bazar'!$A$8:$K$107,2,FALSE))</f>
        <v/>
      </c>
      <c r="D263" s="37"/>
      <c r="E263" s="43" t="str">
        <f t="array" ref="E263">IF(INDEX(B:B,ROW())="","",VLOOKUP(INDEX(B:B,ROW()),'Produtos Bazar'!$A$8:$K$107,11,FALSE))</f>
        <v/>
      </c>
      <c r="F263" s="43" t="str">
        <f t="shared" si="1"/>
        <v/>
      </c>
      <c r="G263" s="32"/>
      <c r="H263" s="32"/>
      <c r="I263" s="32"/>
      <c r="J263" s="32"/>
    </row>
    <row r="264">
      <c r="A264" s="31"/>
      <c r="B264" s="32"/>
      <c r="C264" s="35" t="str">
        <f t="array" ref="C264">IF(INDEX(B:B,ROW())="","",VLOOKUP(INDEX(B:B,ROW()),'Produtos Bazar'!$A$8:$K$107,2,FALSE))</f>
        <v/>
      </c>
      <c r="D264" s="37"/>
      <c r="E264" s="43" t="str">
        <f t="array" ref="E264">IF(INDEX(B:B,ROW())="","",VLOOKUP(INDEX(B:B,ROW()),'Produtos Bazar'!$A$8:$K$107,11,FALSE))</f>
        <v/>
      </c>
      <c r="F264" s="43" t="str">
        <f t="shared" si="1"/>
        <v/>
      </c>
      <c r="G264" s="32"/>
      <c r="H264" s="32"/>
      <c r="I264" s="32"/>
      <c r="J264" s="32"/>
    </row>
    <row r="265">
      <c r="A265" s="31"/>
      <c r="B265" s="32"/>
      <c r="C265" s="35" t="str">
        <f t="array" ref="C265">IF(INDEX(B:B,ROW())="","",VLOOKUP(INDEX(B:B,ROW()),'Produtos Bazar'!$A$8:$K$107,2,FALSE))</f>
        <v/>
      </c>
      <c r="D265" s="37"/>
      <c r="E265" s="43" t="str">
        <f t="array" ref="E265">IF(INDEX(B:B,ROW())="","",VLOOKUP(INDEX(B:B,ROW()),'Produtos Bazar'!$A$8:$K$107,11,FALSE))</f>
        <v/>
      </c>
      <c r="F265" s="43" t="str">
        <f t="shared" si="1"/>
        <v/>
      </c>
      <c r="G265" s="32"/>
      <c r="H265" s="32"/>
      <c r="I265" s="32"/>
      <c r="J265" s="32"/>
    </row>
    <row r="266">
      <c r="A266" s="31"/>
      <c r="B266" s="32"/>
      <c r="C266" s="35" t="str">
        <f t="array" ref="C266">IF(INDEX(B:B,ROW())="","",VLOOKUP(INDEX(B:B,ROW()),'Produtos Bazar'!$A$8:$K$107,2,FALSE))</f>
        <v/>
      </c>
      <c r="D266" s="37"/>
      <c r="E266" s="43" t="str">
        <f t="array" ref="E266">IF(INDEX(B:B,ROW())="","",VLOOKUP(INDEX(B:B,ROW()),'Produtos Bazar'!$A$8:$K$107,11,FALSE))</f>
        <v/>
      </c>
      <c r="F266" s="43" t="str">
        <f t="shared" si="1"/>
        <v/>
      </c>
      <c r="G266" s="32"/>
      <c r="H266" s="32"/>
      <c r="I266" s="32"/>
      <c r="J266" s="32"/>
    </row>
    <row r="267">
      <c r="A267" s="31"/>
      <c r="B267" s="32"/>
      <c r="C267" s="35" t="str">
        <f t="array" ref="C267">IF(INDEX(B:B,ROW())="","",VLOOKUP(INDEX(B:B,ROW()),'Produtos Bazar'!$A$8:$K$107,2,FALSE))</f>
        <v/>
      </c>
      <c r="D267" s="37"/>
      <c r="E267" s="43" t="str">
        <f t="array" ref="E267">IF(INDEX(B:B,ROW())="","",VLOOKUP(INDEX(B:B,ROW()),'Produtos Bazar'!$A$8:$K$107,11,FALSE))</f>
        <v/>
      </c>
      <c r="F267" s="43" t="str">
        <f t="shared" si="1"/>
        <v/>
      </c>
      <c r="G267" s="32"/>
      <c r="H267" s="32"/>
      <c r="I267" s="32"/>
      <c r="J267" s="32"/>
    </row>
    <row r="268">
      <c r="A268" s="31"/>
      <c r="B268" s="32"/>
      <c r="C268" s="35" t="str">
        <f t="array" ref="C268">IF(INDEX(B:B,ROW())="","",VLOOKUP(INDEX(B:B,ROW()),'Produtos Bazar'!$A$8:$K$107,2,FALSE))</f>
        <v/>
      </c>
      <c r="D268" s="37"/>
      <c r="E268" s="43" t="str">
        <f t="array" ref="E268">IF(INDEX(B:B,ROW())="","",VLOOKUP(INDEX(B:B,ROW()),'Produtos Bazar'!$A$8:$K$107,11,FALSE))</f>
        <v/>
      </c>
      <c r="F268" s="43" t="str">
        <f t="shared" si="1"/>
        <v/>
      </c>
      <c r="G268" s="32"/>
      <c r="H268" s="32"/>
      <c r="I268" s="32"/>
      <c r="J268" s="32"/>
    </row>
    <row r="269">
      <c r="A269" s="31"/>
      <c r="B269" s="32"/>
      <c r="C269" s="35" t="str">
        <f t="array" ref="C269">IF(INDEX(B:B,ROW())="","",VLOOKUP(INDEX(B:B,ROW()),'Produtos Bazar'!$A$8:$K$107,2,FALSE))</f>
        <v/>
      </c>
      <c r="D269" s="37"/>
      <c r="E269" s="43" t="str">
        <f t="array" ref="E269">IF(INDEX(B:B,ROW())="","",VLOOKUP(INDEX(B:B,ROW()),'Produtos Bazar'!$A$8:$K$107,11,FALSE))</f>
        <v/>
      </c>
      <c r="F269" s="43" t="str">
        <f t="shared" si="1"/>
        <v/>
      </c>
      <c r="G269" s="32"/>
      <c r="H269" s="32"/>
      <c r="I269" s="32"/>
      <c r="J269" s="32"/>
    </row>
    <row r="270">
      <c r="A270" s="31"/>
      <c r="B270" s="32"/>
      <c r="C270" s="35" t="str">
        <f t="array" ref="C270">IF(INDEX(B:B,ROW())="","",VLOOKUP(INDEX(B:B,ROW()),'Produtos Bazar'!$A$8:$K$107,2,FALSE))</f>
        <v/>
      </c>
      <c r="D270" s="37"/>
      <c r="E270" s="43" t="str">
        <f t="array" ref="E270">IF(INDEX(B:B,ROW())="","",VLOOKUP(INDEX(B:B,ROW()),'Produtos Bazar'!$A$8:$K$107,11,FALSE))</f>
        <v/>
      </c>
      <c r="F270" s="43" t="str">
        <f t="shared" si="1"/>
        <v/>
      </c>
      <c r="G270" s="32"/>
      <c r="H270" s="32"/>
      <c r="I270" s="32"/>
      <c r="J270" s="32"/>
    </row>
    <row r="271">
      <c r="A271" s="31"/>
      <c r="B271" s="32"/>
      <c r="C271" s="35" t="str">
        <f t="array" ref="C271">IF(INDEX(B:B,ROW())="","",VLOOKUP(INDEX(B:B,ROW()),'Produtos Bazar'!$A$8:$K$107,2,FALSE))</f>
        <v/>
      </c>
      <c r="D271" s="37"/>
      <c r="E271" s="43" t="str">
        <f t="array" ref="E271">IF(INDEX(B:B,ROW())="","",VLOOKUP(INDEX(B:B,ROW()),'Produtos Bazar'!$A$8:$K$107,11,FALSE))</f>
        <v/>
      </c>
      <c r="F271" s="43" t="str">
        <f t="shared" si="1"/>
        <v/>
      </c>
      <c r="G271" s="32"/>
      <c r="H271" s="32"/>
      <c r="I271" s="32"/>
      <c r="J271" s="32"/>
    </row>
    <row r="272">
      <c r="A272" s="31"/>
      <c r="B272" s="32"/>
      <c r="C272" s="35" t="str">
        <f t="array" ref="C272">IF(INDEX(B:B,ROW())="","",VLOOKUP(INDEX(B:B,ROW()),'Produtos Bazar'!$A$8:$K$107,2,FALSE))</f>
        <v/>
      </c>
      <c r="D272" s="37"/>
      <c r="E272" s="43" t="str">
        <f t="array" ref="E272">IF(INDEX(B:B,ROW())="","",VLOOKUP(INDEX(B:B,ROW()),'Produtos Bazar'!$A$8:$K$107,11,FALSE))</f>
        <v/>
      </c>
      <c r="F272" s="43" t="str">
        <f t="shared" si="1"/>
        <v/>
      </c>
      <c r="G272" s="32"/>
      <c r="H272" s="32"/>
      <c r="I272" s="32"/>
      <c r="J272" s="32"/>
    </row>
    <row r="273">
      <c r="A273" s="31"/>
      <c r="B273" s="32"/>
      <c r="C273" s="35" t="str">
        <f t="array" ref="C273">IF(INDEX(B:B,ROW())="","",VLOOKUP(INDEX(B:B,ROW()),'Produtos Bazar'!$A$8:$K$107,2,FALSE))</f>
        <v/>
      </c>
      <c r="D273" s="37"/>
      <c r="E273" s="43" t="str">
        <f t="array" ref="E273">IF(INDEX(B:B,ROW())="","",VLOOKUP(INDEX(B:B,ROW()),'Produtos Bazar'!$A$8:$K$107,11,FALSE))</f>
        <v/>
      </c>
      <c r="F273" s="43" t="str">
        <f t="shared" si="1"/>
        <v/>
      </c>
      <c r="G273" s="32"/>
      <c r="H273" s="32"/>
      <c r="I273" s="32"/>
      <c r="J273" s="32"/>
    </row>
    <row r="274">
      <c r="A274" s="31"/>
      <c r="B274" s="32"/>
      <c r="C274" s="35" t="str">
        <f t="array" ref="C274">IF(INDEX(B:B,ROW())="","",VLOOKUP(INDEX(B:B,ROW()),'Produtos Bazar'!$A$8:$K$107,2,FALSE))</f>
        <v/>
      </c>
      <c r="D274" s="37"/>
      <c r="E274" s="43" t="str">
        <f t="array" ref="E274">IF(INDEX(B:B,ROW())="","",VLOOKUP(INDEX(B:B,ROW()),'Produtos Bazar'!$A$8:$K$107,11,FALSE))</f>
        <v/>
      </c>
      <c r="F274" s="43" t="str">
        <f t="shared" si="1"/>
        <v/>
      </c>
      <c r="G274" s="32"/>
      <c r="H274" s="32"/>
      <c r="I274" s="32"/>
      <c r="J274" s="32"/>
    </row>
    <row r="275">
      <c r="A275" s="31"/>
      <c r="B275" s="32"/>
      <c r="C275" s="35" t="str">
        <f t="array" ref="C275">IF(INDEX(B:B,ROW())="","",VLOOKUP(INDEX(B:B,ROW()),'Produtos Bazar'!$A$8:$K$107,2,FALSE))</f>
        <v/>
      </c>
      <c r="D275" s="37"/>
      <c r="E275" s="43" t="str">
        <f t="array" ref="E275">IF(INDEX(B:B,ROW())="","",VLOOKUP(INDEX(B:B,ROW()),'Produtos Bazar'!$A$8:$K$107,11,FALSE))</f>
        <v/>
      </c>
      <c r="F275" s="43" t="str">
        <f t="shared" si="1"/>
        <v/>
      </c>
      <c r="G275" s="32"/>
      <c r="H275" s="32"/>
      <c r="I275" s="32"/>
      <c r="J275" s="32"/>
    </row>
    <row r="276">
      <c r="A276" s="31"/>
      <c r="B276" s="32"/>
      <c r="C276" s="35" t="str">
        <f t="array" ref="C276">IF(INDEX(B:B,ROW())="","",VLOOKUP(INDEX(B:B,ROW()),'Produtos Bazar'!$A$8:$K$107,2,FALSE))</f>
        <v/>
      </c>
      <c r="D276" s="37"/>
      <c r="E276" s="43" t="str">
        <f t="array" ref="E276">IF(INDEX(B:B,ROW())="","",VLOOKUP(INDEX(B:B,ROW()),'Produtos Bazar'!$A$8:$K$107,11,FALSE))</f>
        <v/>
      </c>
      <c r="F276" s="43" t="str">
        <f t="shared" si="1"/>
        <v/>
      </c>
      <c r="G276" s="32"/>
      <c r="H276" s="32"/>
      <c r="I276" s="32"/>
      <c r="J276" s="32"/>
    </row>
    <row r="277">
      <c r="A277" s="31"/>
      <c r="B277" s="32"/>
      <c r="C277" s="35" t="str">
        <f t="array" ref="C277">IF(INDEX(B:B,ROW())="","",VLOOKUP(INDEX(B:B,ROW()),'Produtos Bazar'!$A$8:$K$107,2,FALSE))</f>
        <v/>
      </c>
      <c r="D277" s="37"/>
      <c r="E277" s="43" t="str">
        <f t="array" ref="E277">IF(INDEX(B:B,ROW())="","",VLOOKUP(INDEX(B:B,ROW()),'Produtos Bazar'!$A$8:$K$107,11,FALSE))</f>
        <v/>
      </c>
      <c r="F277" s="43" t="str">
        <f t="shared" si="1"/>
        <v/>
      </c>
      <c r="G277" s="32"/>
      <c r="H277" s="32"/>
      <c r="I277" s="32"/>
      <c r="J277" s="32"/>
    </row>
    <row r="278">
      <c r="A278" s="31"/>
      <c r="B278" s="32"/>
      <c r="C278" s="35" t="str">
        <f t="array" ref="C278">IF(INDEX(B:B,ROW())="","",VLOOKUP(INDEX(B:B,ROW()),'Produtos Bazar'!$A$8:$K$107,2,FALSE))</f>
        <v/>
      </c>
      <c r="D278" s="37"/>
      <c r="E278" s="43" t="str">
        <f t="array" ref="E278">IF(INDEX(B:B,ROW())="","",VLOOKUP(INDEX(B:B,ROW()),'Produtos Bazar'!$A$8:$K$107,11,FALSE))</f>
        <v/>
      </c>
      <c r="F278" s="43" t="str">
        <f t="shared" si="1"/>
        <v/>
      </c>
      <c r="G278" s="32"/>
      <c r="H278" s="32"/>
      <c r="I278" s="32"/>
      <c r="J278" s="32"/>
    </row>
    <row r="279">
      <c r="A279" s="31"/>
      <c r="B279" s="32"/>
      <c r="C279" s="35" t="str">
        <f t="array" ref="C279">IF(INDEX(B:B,ROW())="","",VLOOKUP(INDEX(B:B,ROW()),'Produtos Bazar'!$A$8:$K$107,2,FALSE))</f>
        <v/>
      </c>
      <c r="D279" s="37"/>
      <c r="E279" s="43" t="str">
        <f t="array" ref="E279">IF(INDEX(B:B,ROW())="","",VLOOKUP(INDEX(B:B,ROW()),'Produtos Bazar'!$A$8:$K$107,11,FALSE))</f>
        <v/>
      </c>
      <c r="F279" s="43" t="str">
        <f t="shared" si="1"/>
        <v/>
      </c>
      <c r="G279" s="32"/>
      <c r="H279" s="32"/>
      <c r="I279" s="32"/>
      <c r="J279" s="32"/>
    </row>
    <row r="280">
      <c r="A280" s="31"/>
      <c r="B280" s="32"/>
      <c r="C280" s="35" t="str">
        <f t="array" ref="C280">IF(INDEX(B:B,ROW())="","",VLOOKUP(INDEX(B:B,ROW()),'Produtos Bazar'!$A$8:$K$107,2,FALSE))</f>
        <v/>
      </c>
      <c r="D280" s="37"/>
      <c r="E280" s="43" t="str">
        <f t="array" ref="E280">IF(INDEX(B:B,ROW())="","",VLOOKUP(INDEX(B:B,ROW()),'Produtos Bazar'!$A$8:$K$107,11,FALSE))</f>
        <v/>
      </c>
      <c r="F280" s="43" t="str">
        <f t="shared" si="1"/>
        <v/>
      </c>
      <c r="G280" s="32"/>
      <c r="H280" s="32"/>
      <c r="I280" s="32"/>
      <c r="J280" s="32"/>
    </row>
    <row r="281">
      <c r="A281" s="31"/>
      <c r="B281" s="32"/>
      <c r="C281" s="35" t="str">
        <f t="array" ref="C281">IF(INDEX(B:B,ROW())="","",VLOOKUP(INDEX(B:B,ROW()),'Produtos Bazar'!$A$8:$K$107,2,FALSE))</f>
        <v/>
      </c>
      <c r="D281" s="37"/>
      <c r="E281" s="43" t="str">
        <f t="array" ref="E281">IF(INDEX(B:B,ROW())="","",VLOOKUP(INDEX(B:B,ROW()),'Produtos Bazar'!$A$8:$K$107,11,FALSE))</f>
        <v/>
      </c>
      <c r="F281" s="43" t="str">
        <f t="shared" si="1"/>
        <v/>
      </c>
      <c r="G281" s="32"/>
      <c r="H281" s="32"/>
      <c r="I281" s="32"/>
      <c r="J281" s="32"/>
    </row>
    <row r="282">
      <c r="A282" s="31"/>
      <c r="B282" s="32"/>
      <c r="C282" s="35" t="str">
        <f t="array" ref="C282">IF(INDEX(B:B,ROW())="","",VLOOKUP(INDEX(B:B,ROW()),'Produtos Bazar'!$A$8:$K$107,2,FALSE))</f>
        <v/>
      </c>
      <c r="D282" s="37"/>
      <c r="E282" s="43" t="str">
        <f t="array" ref="E282">IF(INDEX(B:B,ROW())="","",VLOOKUP(INDEX(B:B,ROW()),'Produtos Bazar'!$A$8:$K$107,11,FALSE))</f>
        <v/>
      </c>
      <c r="F282" s="43" t="str">
        <f t="shared" si="1"/>
        <v/>
      </c>
      <c r="G282" s="32"/>
      <c r="H282" s="32"/>
      <c r="I282" s="32"/>
      <c r="J282" s="32"/>
    </row>
    <row r="283">
      <c r="A283" s="31"/>
      <c r="B283" s="32"/>
      <c r="C283" s="35" t="str">
        <f t="array" ref="C283">IF(INDEX(B:B,ROW())="","",VLOOKUP(INDEX(B:B,ROW()),'Produtos Bazar'!$A$8:$K$107,2,FALSE))</f>
        <v/>
      </c>
      <c r="D283" s="37"/>
      <c r="E283" s="43" t="str">
        <f t="array" ref="E283">IF(INDEX(B:B,ROW())="","",VLOOKUP(INDEX(B:B,ROW()),'Produtos Bazar'!$A$8:$K$107,11,FALSE))</f>
        <v/>
      </c>
      <c r="F283" s="43" t="str">
        <f t="shared" si="1"/>
        <v/>
      </c>
      <c r="G283" s="32"/>
      <c r="H283" s="32"/>
      <c r="I283" s="32"/>
      <c r="J283" s="32"/>
    </row>
    <row r="284">
      <c r="A284" s="31"/>
      <c r="B284" s="32"/>
      <c r="C284" s="35" t="str">
        <f t="array" ref="C284">IF(INDEX(B:B,ROW())="","",VLOOKUP(INDEX(B:B,ROW()),'Produtos Bazar'!$A$8:$K$107,2,FALSE))</f>
        <v/>
      </c>
      <c r="D284" s="37"/>
      <c r="E284" s="43" t="str">
        <f t="array" ref="E284">IF(INDEX(B:B,ROW())="","",VLOOKUP(INDEX(B:B,ROW()),'Produtos Bazar'!$A$8:$K$107,11,FALSE))</f>
        <v/>
      </c>
      <c r="F284" s="43" t="str">
        <f t="shared" si="1"/>
        <v/>
      </c>
      <c r="G284" s="32"/>
      <c r="H284" s="32"/>
      <c r="I284" s="32"/>
      <c r="J284" s="32"/>
    </row>
    <row r="285">
      <c r="A285" s="31"/>
      <c r="B285" s="32"/>
      <c r="C285" s="35" t="str">
        <f t="array" ref="C285">IF(INDEX(B:B,ROW())="","",VLOOKUP(INDEX(B:B,ROW()),'Produtos Bazar'!$A$8:$K$107,2,FALSE))</f>
        <v/>
      </c>
      <c r="D285" s="37"/>
      <c r="E285" s="43" t="str">
        <f t="array" ref="E285">IF(INDEX(B:B,ROW())="","",VLOOKUP(INDEX(B:B,ROW()),'Produtos Bazar'!$A$8:$K$107,11,FALSE))</f>
        <v/>
      </c>
      <c r="F285" s="43" t="str">
        <f t="shared" si="1"/>
        <v/>
      </c>
      <c r="G285" s="32"/>
      <c r="H285" s="32"/>
      <c r="I285" s="32"/>
      <c r="J285" s="32"/>
    </row>
    <row r="286">
      <c r="A286" s="31"/>
      <c r="B286" s="32"/>
      <c r="C286" s="35" t="str">
        <f t="array" ref="C286">IF(INDEX(B:B,ROW())="","",VLOOKUP(INDEX(B:B,ROW()),'Produtos Bazar'!$A$8:$K$107,2,FALSE))</f>
        <v/>
      </c>
      <c r="D286" s="37"/>
      <c r="E286" s="43" t="str">
        <f t="array" ref="E286">IF(INDEX(B:B,ROW())="","",VLOOKUP(INDEX(B:B,ROW()),'Produtos Bazar'!$A$8:$K$107,11,FALSE))</f>
        <v/>
      </c>
      <c r="F286" s="43" t="str">
        <f t="shared" si="1"/>
        <v/>
      </c>
      <c r="G286" s="32"/>
      <c r="H286" s="32"/>
      <c r="I286" s="32"/>
      <c r="J286" s="32"/>
    </row>
    <row r="287">
      <c r="A287" s="31"/>
      <c r="B287" s="32"/>
      <c r="C287" s="35" t="str">
        <f t="array" ref="C287">IF(INDEX(B:B,ROW())="","",VLOOKUP(INDEX(B:B,ROW()),'Produtos Bazar'!$A$8:$K$107,2,FALSE))</f>
        <v/>
      </c>
      <c r="D287" s="37"/>
      <c r="E287" s="43" t="str">
        <f t="array" ref="E287">IF(INDEX(B:B,ROW())="","",VLOOKUP(INDEX(B:B,ROW()),'Produtos Bazar'!$A$8:$K$107,11,FALSE))</f>
        <v/>
      </c>
      <c r="F287" s="43" t="str">
        <f t="shared" si="1"/>
        <v/>
      </c>
      <c r="G287" s="32"/>
      <c r="H287" s="32"/>
      <c r="I287" s="32"/>
      <c r="J287" s="32"/>
    </row>
    <row r="288">
      <c r="A288" s="31"/>
      <c r="B288" s="32"/>
      <c r="C288" s="35" t="str">
        <f t="array" ref="C288">IF(INDEX(B:B,ROW())="","",VLOOKUP(INDEX(B:B,ROW()),'Produtos Bazar'!$A$8:$K$107,2,FALSE))</f>
        <v/>
      </c>
      <c r="D288" s="37"/>
      <c r="E288" s="43" t="str">
        <f t="array" ref="E288">IF(INDEX(B:B,ROW())="","",VLOOKUP(INDEX(B:B,ROW()),'Produtos Bazar'!$A$8:$K$107,11,FALSE))</f>
        <v/>
      </c>
      <c r="F288" s="43" t="str">
        <f t="shared" si="1"/>
        <v/>
      </c>
      <c r="G288" s="32"/>
      <c r="H288" s="32"/>
      <c r="I288" s="32"/>
      <c r="J288" s="32"/>
    </row>
    <row r="289">
      <c r="A289" s="31"/>
      <c r="B289" s="32"/>
      <c r="C289" s="35" t="str">
        <f t="array" ref="C289">IF(INDEX(B:B,ROW())="","",VLOOKUP(INDEX(B:B,ROW()),'Produtos Bazar'!$A$8:$K$107,2,FALSE))</f>
        <v/>
      </c>
      <c r="D289" s="37"/>
      <c r="E289" s="43" t="str">
        <f t="array" ref="E289">IF(INDEX(B:B,ROW())="","",VLOOKUP(INDEX(B:B,ROW()),'Produtos Bazar'!$A$8:$K$107,11,FALSE))</f>
        <v/>
      </c>
      <c r="F289" s="43" t="str">
        <f t="shared" si="1"/>
        <v/>
      </c>
      <c r="G289" s="32"/>
      <c r="H289" s="32"/>
      <c r="I289" s="32"/>
      <c r="J289" s="32"/>
    </row>
    <row r="290">
      <c r="A290" s="31"/>
      <c r="B290" s="32"/>
      <c r="C290" s="35" t="str">
        <f t="array" ref="C290">IF(INDEX(B:B,ROW())="","",VLOOKUP(INDEX(B:B,ROW()),'Produtos Bazar'!$A$8:$K$107,2,FALSE))</f>
        <v/>
      </c>
      <c r="D290" s="37"/>
      <c r="E290" s="43" t="str">
        <f t="array" ref="E290">IF(INDEX(B:B,ROW())="","",VLOOKUP(INDEX(B:B,ROW()),'Produtos Bazar'!$A$8:$K$107,11,FALSE))</f>
        <v/>
      </c>
      <c r="F290" s="43" t="str">
        <f t="shared" si="1"/>
        <v/>
      </c>
      <c r="G290" s="32"/>
      <c r="H290" s="32"/>
      <c r="I290" s="32"/>
      <c r="J290" s="32"/>
    </row>
    <row r="291">
      <c r="A291" s="31"/>
      <c r="B291" s="32"/>
      <c r="C291" s="35" t="str">
        <f t="array" ref="C291">IF(INDEX(B:B,ROW())="","",VLOOKUP(INDEX(B:B,ROW()),'Produtos Bazar'!$A$8:$K$107,2,FALSE))</f>
        <v/>
      </c>
      <c r="D291" s="37"/>
      <c r="E291" s="43" t="str">
        <f t="array" ref="E291">IF(INDEX(B:B,ROW())="","",VLOOKUP(INDEX(B:B,ROW()),'Produtos Bazar'!$A$8:$K$107,11,FALSE))</f>
        <v/>
      </c>
      <c r="F291" s="43" t="str">
        <f t="shared" si="1"/>
        <v/>
      </c>
      <c r="G291" s="32"/>
      <c r="H291" s="32"/>
      <c r="I291" s="32"/>
      <c r="J291" s="32"/>
    </row>
    <row r="292">
      <c r="A292" s="31"/>
      <c r="B292" s="32"/>
      <c r="C292" s="35" t="str">
        <f t="array" ref="C292">IF(INDEX(B:B,ROW())="","",VLOOKUP(INDEX(B:B,ROW()),'Produtos Bazar'!$A$8:$K$107,2,FALSE))</f>
        <v/>
      </c>
      <c r="D292" s="37"/>
      <c r="E292" s="43" t="str">
        <f t="array" ref="E292">IF(INDEX(B:B,ROW())="","",VLOOKUP(INDEX(B:B,ROW()),'Produtos Bazar'!$A$8:$K$107,11,FALSE))</f>
        <v/>
      </c>
      <c r="F292" s="43" t="str">
        <f t="shared" si="1"/>
        <v/>
      </c>
      <c r="G292" s="32"/>
      <c r="H292" s="32"/>
      <c r="I292" s="32"/>
      <c r="J292" s="32"/>
    </row>
    <row r="293">
      <c r="A293" s="31"/>
      <c r="B293" s="32"/>
      <c r="C293" s="35" t="str">
        <f t="array" ref="C293">IF(INDEX(B:B,ROW())="","",VLOOKUP(INDEX(B:B,ROW()),'Produtos Bazar'!$A$8:$K$107,2,FALSE))</f>
        <v/>
      </c>
      <c r="D293" s="37"/>
      <c r="E293" s="43" t="str">
        <f t="array" ref="E293">IF(INDEX(B:B,ROW())="","",VLOOKUP(INDEX(B:B,ROW()),'Produtos Bazar'!$A$8:$K$107,11,FALSE))</f>
        <v/>
      </c>
      <c r="F293" s="43" t="str">
        <f t="shared" si="1"/>
        <v/>
      </c>
      <c r="G293" s="32"/>
      <c r="H293" s="32"/>
      <c r="I293" s="32"/>
      <c r="J293" s="32"/>
    </row>
    <row r="294">
      <c r="A294" s="31"/>
      <c r="B294" s="32"/>
      <c r="C294" s="35" t="str">
        <f t="array" ref="C294">IF(INDEX(B:B,ROW())="","",VLOOKUP(INDEX(B:B,ROW()),'Produtos Bazar'!$A$8:$K$107,2,FALSE))</f>
        <v/>
      </c>
      <c r="D294" s="37"/>
      <c r="E294" s="43" t="str">
        <f t="array" ref="E294">IF(INDEX(B:B,ROW())="","",VLOOKUP(INDEX(B:B,ROW()),'Produtos Bazar'!$A$8:$K$107,11,FALSE))</f>
        <v/>
      </c>
      <c r="F294" s="43" t="str">
        <f t="shared" si="1"/>
        <v/>
      </c>
      <c r="G294" s="32"/>
      <c r="H294" s="32"/>
      <c r="I294" s="32"/>
      <c r="J294" s="32"/>
    </row>
    <row r="295">
      <c r="A295" s="31"/>
      <c r="B295" s="32"/>
      <c r="C295" s="35" t="str">
        <f t="array" ref="C295">IF(INDEX(B:B,ROW())="","",VLOOKUP(INDEX(B:B,ROW()),'Produtos Bazar'!$A$8:$K$107,2,FALSE))</f>
        <v/>
      </c>
      <c r="D295" s="37"/>
      <c r="E295" s="43" t="str">
        <f t="array" ref="E295">IF(INDEX(B:B,ROW())="","",VLOOKUP(INDEX(B:B,ROW()),'Produtos Bazar'!$A$8:$K$107,11,FALSE))</f>
        <v/>
      </c>
      <c r="F295" s="43" t="str">
        <f t="shared" si="1"/>
        <v/>
      </c>
      <c r="G295" s="32"/>
      <c r="H295" s="32"/>
      <c r="I295" s="32"/>
      <c r="J295" s="32"/>
    </row>
    <row r="296">
      <c r="A296" s="31"/>
      <c r="B296" s="32"/>
      <c r="C296" s="35" t="str">
        <f t="array" ref="C296">IF(INDEX(B:B,ROW())="","",VLOOKUP(INDEX(B:B,ROW()),'Produtos Bazar'!$A$8:$K$107,2,FALSE))</f>
        <v/>
      </c>
      <c r="D296" s="37"/>
      <c r="E296" s="43" t="str">
        <f t="array" ref="E296">IF(INDEX(B:B,ROW())="","",VLOOKUP(INDEX(B:B,ROW()),'Produtos Bazar'!$A$8:$K$107,11,FALSE))</f>
        <v/>
      </c>
      <c r="F296" s="43" t="str">
        <f t="shared" si="1"/>
        <v/>
      </c>
      <c r="G296" s="32"/>
      <c r="H296" s="32"/>
      <c r="I296" s="32"/>
      <c r="J296" s="32"/>
    </row>
    <row r="297">
      <c r="A297" s="31"/>
      <c r="B297" s="32"/>
      <c r="C297" s="35" t="str">
        <f t="array" ref="C297">IF(INDEX(B:B,ROW())="","",VLOOKUP(INDEX(B:B,ROW()),'Produtos Bazar'!$A$8:$K$107,2,FALSE))</f>
        <v/>
      </c>
      <c r="D297" s="37"/>
      <c r="E297" s="43" t="str">
        <f t="array" ref="E297">IF(INDEX(B:B,ROW())="","",VLOOKUP(INDEX(B:B,ROW()),'Produtos Bazar'!$A$8:$K$107,11,FALSE))</f>
        <v/>
      </c>
      <c r="F297" s="43" t="str">
        <f t="shared" si="1"/>
        <v/>
      </c>
      <c r="G297" s="32"/>
      <c r="H297" s="32"/>
      <c r="I297" s="32"/>
      <c r="J297" s="32"/>
    </row>
    <row r="298">
      <c r="A298" s="31"/>
      <c r="B298" s="32"/>
      <c r="C298" s="35" t="str">
        <f t="array" ref="C298">IF(INDEX(B:B,ROW())="","",VLOOKUP(INDEX(B:B,ROW()),'Produtos Bazar'!$A$8:$K$107,2,FALSE))</f>
        <v/>
      </c>
      <c r="D298" s="37"/>
      <c r="E298" s="43" t="str">
        <f t="array" ref="E298">IF(INDEX(B:B,ROW())="","",VLOOKUP(INDEX(B:B,ROW()),'Produtos Bazar'!$A$8:$K$107,11,FALSE))</f>
        <v/>
      </c>
      <c r="F298" s="43" t="str">
        <f t="shared" si="1"/>
        <v/>
      </c>
      <c r="G298" s="32"/>
      <c r="H298" s="32"/>
      <c r="I298" s="32"/>
      <c r="J298" s="32"/>
    </row>
    <row r="299">
      <c r="A299" s="31"/>
      <c r="B299" s="32"/>
      <c r="C299" s="35" t="str">
        <f t="array" ref="C299">IF(INDEX(B:B,ROW())="","",VLOOKUP(INDEX(B:B,ROW()),'Produtos Bazar'!$A$8:$K$107,2,FALSE))</f>
        <v/>
      </c>
      <c r="D299" s="37"/>
      <c r="E299" s="43" t="str">
        <f t="array" ref="E299">IF(INDEX(B:B,ROW())="","",VLOOKUP(INDEX(B:B,ROW()),'Produtos Bazar'!$A$8:$K$107,11,FALSE))</f>
        <v/>
      </c>
      <c r="F299" s="43" t="str">
        <f t="shared" si="1"/>
        <v/>
      </c>
      <c r="G299" s="32"/>
      <c r="H299" s="32"/>
      <c r="I299" s="32"/>
      <c r="J299" s="32"/>
    </row>
    <row r="300">
      <c r="A300" s="31"/>
      <c r="B300" s="32"/>
      <c r="C300" s="35" t="str">
        <f t="array" ref="C300">IF(INDEX(B:B,ROW())="","",VLOOKUP(INDEX(B:B,ROW()),'Produtos Bazar'!$A$8:$K$107,2,FALSE))</f>
        <v/>
      </c>
      <c r="D300" s="37"/>
      <c r="E300" s="43" t="str">
        <f t="array" ref="E300">IF(INDEX(B:B,ROW())="","",VLOOKUP(INDEX(B:B,ROW()),'Produtos Bazar'!$A$8:$K$107,11,FALSE))</f>
        <v/>
      </c>
      <c r="F300" s="43" t="str">
        <f t="shared" si="1"/>
        <v/>
      </c>
      <c r="G300" s="32"/>
      <c r="H300" s="32"/>
      <c r="I300" s="32"/>
      <c r="J300" s="32"/>
    </row>
    <row r="301">
      <c r="A301" s="31"/>
      <c r="B301" s="32"/>
      <c r="C301" s="35" t="str">
        <f t="array" ref="C301">IF(INDEX(B:B,ROW())="","",VLOOKUP(INDEX(B:B,ROW()),'Produtos Bazar'!$A$8:$K$107,2,FALSE))</f>
        <v/>
      </c>
      <c r="D301" s="37"/>
      <c r="E301" s="43" t="str">
        <f t="array" ref="E301">IF(INDEX(B:B,ROW())="","",VLOOKUP(INDEX(B:B,ROW()),'Produtos Bazar'!$A$8:$K$107,11,FALSE))</f>
        <v/>
      </c>
      <c r="F301" s="43" t="str">
        <f t="shared" si="1"/>
        <v/>
      </c>
      <c r="G301" s="32"/>
      <c r="H301" s="32"/>
      <c r="I301" s="32"/>
      <c r="J301" s="32"/>
    </row>
    <row r="302">
      <c r="A302" s="31"/>
      <c r="B302" s="32"/>
      <c r="C302" s="35" t="str">
        <f t="array" ref="C302">IF(INDEX(B:B,ROW())="","",VLOOKUP(INDEX(B:B,ROW()),'Produtos Bazar'!$A$8:$K$107,2,FALSE))</f>
        <v/>
      </c>
      <c r="D302" s="37"/>
      <c r="E302" s="43" t="str">
        <f t="array" ref="E302">IF(INDEX(B:B,ROW())="","",VLOOKUP(INDEX(B:B,ROW()),'Produtos Bazar'!$A$8:$K$107,11,FALSE))</f>
        <v/>
      </c>
      <c r="F302" s="43" t="str">
        <f t="shared" si="1"/>
        <v/>
      </c>
      <c r="G302" s="32"/>
      <c r="H302" s="32"/>
      <c r="I302" s="32"/>
      <c r="J302" s="32"/>
    </row>
    <row r="303">
      <c r="A303" s="31"/>
      <c r="B303" s="32"/>
      <c r="C303" s="35" t="str">
        <f t="array" ref="C303">IF(INDEX(B:B,ROW())="","",VLOOKUP(INDEX(B:B,ROW()),'Produtos Bazar'!$A$8:$K$107,2,FALSE))</f>
        <v/>
      </c>
      <c r="D303" s="37"/>
      <c r="E303" s="43" t="str">
        <f t="array" ref="E303">IF(INDEX(B:B,ROW())="","",VLOOKUP(INDEX(B:B,ROW()),'Produtos Bazar'!$A$8:$K$107,11,FALSE))</f>
        <v/>
      </c>
      <c r="F303" s="43" t="str">
        <f t="shared" si="1"/>
        <v/>
      </c>
      <c r="G303" s="32"/>
      <c r="H303" s="32"/>
      <c r="I303" s="32"/>
      <c r="J303" s="32"/>
    </row>
    <row r="304">
      <c r="A304" s="31"/>
      <c r="B304" s="32"/>
      <c r="C304" s="35" t="str">
        <f t="array" ref="C304">IF(INDEX(B:B,ROW())="","",VLOOKUP(INDEX(B:B,ROW()),'Produtos Bazar'!$A$8:$K$107,2,FALSE))</f>
        <v/>
      </c>
      <c r="D304" s="37"/>
      <c r="E304" s="43" t="str">
        <f t="array" ref="E304">IF(INDEX(B:B,ROW())="","",VLOOKUP(INDEX(B:B,ROW()),'Produtos Bazar'!$A$8:$K$107,11,FALSE))</f>
        <v/>
      </c>
      <c r="F304" s="43" t="str">
        <f t="shared" si="1"/>
        <v/>
      </c>
      <c r="G304" s="32"/>
      <c r="H304" s="32"/>
      <c r="I304" s="32"/>
      <c r="J304" s="32"/>
    </row>
    <row r="305">
      <c r="A305" s="31"/>
      <c r="B305" s="32"/>
      <c r="C305" s="35" t="str">
        <f t="array" ref="C305">IF(INDEX(B:B,ROW())="","",VLOOKUP(INDEX(B:B,ROW()),'Produtos Bazar'!$A$8:$K$107,2,FALSE))</f>
        <v/>
      </c>
      <c r="D305" s="37"/>
      <c r="E305" s="43" t="str">
        <f t="array" ref="E305">IF(INDEX(B:B,ROW())="","",VLOOKUP(INDEX(B:B,ROW()),'Produtos Bazar'!$A$8:$K$107,11,FALSE))</f>
        <v/>
      </c>
      <c r="F305" s="43" t="str">
        <f t="shared" si="1"/>
        <v/>
      </c>
      <c r="G305" s="32"/>
      <c r="H305" s="32"/>
      <c r="I305" s="32"/>
      <c r="J305" s="32"/>
    </row>
    <row r="306">
      <c r="A306" s="31"/>
      <c r="B306" s="32"/>
      <c r="C306" s="35" t="str">
        <f t="array" ref="C306">IF(INDEX(B:B,ROW())="","",VLOOKUP(INDEX(B:B,ROW()),'Produtos Bazar'!$A$8:$K$107,2,FALSE))</f>
        <v/>
      </c>
      <c r="D306" s="37"/>
      <c r="E306" s="43" t="str">
        <f t="array" ref="E306">IF(INDEX(B:B,ROW())="","",VLOOKUP(INDEX(B:B,ROW()),'Produtos Bazar'!$A$8:$K$107,11,FALSE))</f>
        <v/>
      </c>
      <c r="F306" s="43" t="str">
        <f t="shared" si="1"/>
        <v/>
      </c>
      <c r="G306" s="32"/>
      <c r="H306" s="32"/>
      <c r="I306" s="32"/>
      <c r="J306" s="32"/>
    </row>
    <row r="307">
      <c r="A307" s="31"/>
      <c r="B307" s="32"/>
      <c r="C307" s="35" t="str">
        <f t="array" ref="C307">IF(INDEX(B:B,ROW())="","",VLOOKUP(INDEX(B:B,ROW()),'Produtos Bazar'!$A$8:$K$107,2,FALSE))</f>
        <v/>
      </c>
      <c r="D307" s="37"/>
      <c r="E307" s="43" t="str">
        <f t="array" ref="E307">IF(INDEX(B:B,ROW())="","",VLOOKUP(INDEX(B:B,ROW()),'Produtos Bazar'!$A$8:$K$107,11,FALSE))</f>
        <v/>
      </c>
      <c r="F307" s="43" t="str">
        <f t="shared" si="1"/>
        <v/>
      </c>
      <c r="G307" s="32"/>
      <c r="H307" s="32"/>
      <c r="I307" s="32"/>
      <c r="J307" s="32"/>
    </row>
    <row r="308">
      <c r="A308" s="31"/>
      <c r="B308" s="32"/>
      <c r="C308" s="35" t="str">
        <f t="array" ref="C308">IF(INDEX(B:B,ROW())="","",VLOOKUP(INDEX(B:B,ROW()),'Produtos Bazar'!$A$8:$K$107,2,FALSE))</f>
        <v/>
      </c>
      <c r="D308" s="37"/>
      <c r="E308" s="43" t="str">
        <f t="array" ref="E308">IF(INDEX(B:B,ROW())="","",VLOOKUP(INDEX(B:B,ROW()),'Produtos Bazar'!$A$8:$K$107,11,FALSE))</f>
        <v/>
      </c>
      <c r="F308" s="43" t="str">
        <f t="shared" si="1"/>
        <v/>
      </c>
      <c r="G308" s="32"/>
      <c r="H308" s="32"/>
      <c r="I308" s="32"/>
      <c r="J308" s="32"/>
    </row>
    <row r="309">
      <c r="A309" s="31"/>
      <c r="B309" s="32"/>
      <c r="C309" s="35" t="str">
        <f t="array" ref="C309">IF(INDEX(B:B,ROW())="","",VLOOKUP(INDEX(B:B,ROW()),'Produtos Bazar'!$A$8:$K$107,2,FALSE))</f>
        <v/>
      </c>
      <c r="D309" s="37"/>
      <c r="E309" s="43" t="str">
        <f t="array" ref="E309">IF(INDEX(B:B,ROW())="","",VLOOKUP(INDEX(B:B,ROW()),'Produtos Bazar'!$A$8:$K$107,11,FALSE))</f>
        <v/>
      </c>
      <c r="F309" s="43" t="str">
        <f t="shared" si="1"/>
        <v/>
      </c>
      <c r="G309" s="32"/>
      <c r="H309" s="32"/>
      <c r="I309" s="32"/>
      <c r="J309" s="32"/>
    </row>
    <row r="310">
      <c r="A310" s="31"/>
      <c r="B310" s="32"/>
      <c r="C310" s="35" t="str">
        <f t="array" ref="C310">IF(INDEX(B:B,ROW())="","",VLOOKUP(INDEX(B:B,ROW()),'Produtos Bazar'!$A$8:$K$107,2,FALSE))</f>
        <v/>
      </c>
      <c r="D310" s="37"/>
      <c r="E310" s="43" t="str">
        <f t="array" ref="E310">IF(INDEX(B:B,ROW())="","",VLOOKUP(INDEX(B:B,ROW()),'Produtos Bazar'!$A$8:$K$107,11,FALSE))</f>
        <v/>
      </c>
      <c r="F310" s="43" t="str">
        <f t="shared" si="1"/>
        <v/>
      </c>
      <c r="G310" s="32"/>
      <c r="H310" s="32"/>
      <c r="I310" s="32"/>
      <c r="J310" s="32"/>
    </row>
    <row r="311">
      <c r="A311" s="31"/>
      <c r="B311" s="32"/>
      <c r="C311" s="35" t="str">
        <f t="array" ref="C311">IF(INDEX(B:B,ROW())="","",VLOOKUP(INDEX(B:B,ROW()),'Produtos Bazar'!$A$8:$K$107,2,FALSE))</f>
        <v/>
      </c>
      <c r="D311" s="37"/>
      <c r="E311" s="43" t="str">
        <f t="array" ref="E311">IF(INDEX(B:B,ROW())="","",VLOOKUP(INDEX(B:B,ROW()),'Produtos Bazar'!$A$8:$K$107,11,FALSE))</f>
        <v/>
      </c>
      <c r="F311" s="43" t="str">
        <f t="shared" si="1"/>
        <v/>
      </c>
      <c r="G311" s="32"/>
      <c r="H311" s="32"/>
      <c r="I311" s="32"/>
      <c r="J311" s="32"/>
    </row>
    <row r="312">
      <c r="A312" s="31"/>
      <c r="B312" s="32"/>
      <c r="C312" s="35" t="str">
        <f t="array" ref="C312">IF(INDEX(B:B,ROW())="","",VLOOKUP(INDEX(B:B,ROW()),'Produtos Bazar'!$A$8:$K$107,2,FALSE))</f>
        <v/>
      </c>
      <c r="D312" s="37"/>
      <c r="E312" s="43" t="str">
        <f t="array" ref="E312">IF(INDEX(B:B,ROW())="","",VLOOKUP(INDEX(B:B,ROW()),'Produtos Bazar'!$A$8:$K$107,11,FALSE))</f>
        <v/>
      </c>
      <c r="F312" s="43" t="str">
        <f t="shared" si="1"/>
        <v/>
      </c>
      <c r="G312" s="32"/>
      <c r="H312" s="32"/>
      <c r="I312" s="32"/>
      <c r="J312" s="32"/>
    </row>
    <row r="313">
      <c r="A313" s="31"/>
      <c r="B313" s="32"/>
      <c r="C313" s="35" t="str">
        <f t="array" ref="C313">IF(INDEX(B:B,ROW())="","",VLOOKUP(INDEX(B:B,ROW()),'Produtos Bazar'!$A$8:$K$107,2,FALSE))</f>
        <v/>
      </c>
      <c r="D313" s="37"/>
      <c r="E313" s="43" t="str">
        <f t="array" ref="E313">IF(INDEX(B:B,ROW())="","",VLOOKUP(INDEX(B:B,ROW()),'Produtos Bazar'!$A$8:$K$107,11,FALSE))</f>
        <v/>
      </c>
      <c r="F313" s="43" t="str">
        <f t="shared" si="1"/>
        <v/>
      </c>
      <c r="G313" s="32"/>
      <c r="H313" s="32"/>
      <c r="I313" s="32"/>
      <c r="J313" s="32"/>
    </row>
    <row r="314">
      <c r="A314" s="31"/>
      <c r="B314" s="32"/>
      <c r="C314" s="35" t="str">
        <f t="array" ref="C314">IF(INDEX(B:B,ROW())="","",VLOOKUP(INDEX(B:B,ROW()),'Produtos Bazar'!$A$8:$K$107,2,FALSE))</f>
        <v/>
      </c>
      <c r="D314" s="37"/>
      <c r="E314" s="43" t="str">
        <f t="array" ref="E314">IF(INDEX(B:B,ROW())="","",VLOOKUP(INDEX(B:B,ROW()),'Produtos Bazar'!$A$8:$K$107,11,FALSE))</f>
        <v/>
      </c>
      <c r="F314" s="43" t="str">
        <f t="shared" si="1"/>
        <v/>
      </c>
      <c r="G314" s="32"/>
      <c r="H314" s="32"/>
      <c r="I314" s="32"/>
      <c r="J314" s="32"/>
    </row>
    <row r="315">
      <c r="A315" s="31"/>
      <c r="B315" s="32"/>
      <c r="C315" s="35" t="str">
        <f t="array" ref="C315">IF(INDEX(B:B,ROW())="","",VLOOKUP(INDEX(B:B,ROW()),'Produtos Bazar'!$A$8:$K$107,2,FALSE))</f>
        <v/>
      </c>
      <c r="D315" s="37"/>
      <c r="E315" s="43" t="str">
        <f t="array" ref="E315">IF(INDEX(B:B,ROW())="","",VLOOKUP(INDEX(B:B,ROW()),'Produtos Bazar'!$A$8:$K$107,11,FALSE))</f>
        <v/>
      </c>
      <c r="F315" s="43" t="str">
        <f t="shared" si="1"/>
        <v/>
      </c>
      <c r="G315" s="32"/>
      <c r="H315" s="32"/>
      <c r="I315" s="32"/>
      <c r="J315" s="32"/>
    </row>
    <row r="316">
      <c r="A316" s="31"/>
      <c r="B316" s="32"/>
      <c r="C316" s="35" t="str">
        <f t="array" ref="C316">IF(INDEX(B:B,ROW())="","",VLOOKUP(INDEX(B:B,ROW()),'Produtos Bazar'!$A$8:$K$107,2,FALSE))</f>
        <v/>
      </c>
      <c r="D316" s="37"/>
      <c r="E316" s="43" t="str">
        <f t="array" ref="E316">IF(INDEX(B:B,ROW())="","",VLOOKUP(INDEX(B:B,ROW()),'Produtos Bazar'!$A$8:$K$107,11,FALSE))</f>
        <v/>
      </c>
      <c r="F316" s="43" t="str">
        <f t="shared" si="1"/>
        <v/>
      </c>
      <c r="G316" s="32"/>
      <c r="H316" s="32"/>
      <c r="I316" s="32"/>
      <c r="J316" s="32"/>
    </row>
    <row r="317">
      <c r="A317" s="31"/>
      <c r="B317" s="32"/>
      <c r="C317" s="35" t="str">
        <f t="array" ref="C317">IF(INDEX(B:B,ROW())="","",VLOOKUP(INDEX(B:B,ROW()),'Produtos Bazar'!$A$8:$K$107,2,FALSE))</f>
        <v/>
      </c>
      <c r="D317" s="37"/>
      <c r="E317" s="43" t="str">
        <f t="array" ref="E317">IF(INDEX(B:B,ROW())="","",VLOOKUP(INDEX(B:B,ROW()),'Produtos Bazar'!$A$8:$K$107,11,FALSE))</f>
        <v/>
      </c>
      <c r="F317" s="43" t="str">
        <f t="shared" si="1"/>
        <v/>
      </c>
      <c r="G317" s="32"/>
      <c r="H317" s="32"/>
      <c r="I317" s="32"/>
      <c r="J317" s="32"/>
    </row>
    <row r="318">
      <c r="A318" s="31"/>
      <c r="B318" s="32"/>
      <c r="C318" s="35" t="str">
        <f t="array" ref="C318">IF(INDEX(B:B,ROW())="","",VLOOKUP(INDEX(B:B,ROW()),'Produtos Bazar'!$A$8:$K$107,2,FALSE))</f>
        <v/>
      </c>
      <c r="D318" s="37"/>
      <c r="E318" s="43" t="str">
        <f t="array" ref="E318">IF(INDEX(B:B,ROW())="","",VLOOKUP(INDEX(B:B,ROW()),'Produtos Bazar'!$A$8:$K$107,11,FALSE))</f>
        <v/>
      </c>
      <c r="F318" s="43" t="str">
        <f t="shared" si="1"/>
        <v/>
      </c>
      <c r="G318" s="32"/>
      <c r="H318" s="32"/>
      <c r="I318" s="32"/>
      <c r="J318" s="32"/>
    </row>
    <row r="319">
      <c r="A319" s="31"/>
      <c r="B319" s="32"/>
      <c r="C319" s="35" t="str">
        <f t="array" ref="C319">IF(INDEX(B:B,ROW())="","",VLOOKUP(INDEX(B:B,ROW()),'Produtos Bazar'!$A$8:$K$107,2,FALSE))</f>
        <v/>
      </c>
      <c r="D319" s="37"/>
      <c r="E319" s="43" t="str">
        <f t="array" ref="E319">IF(INDEX(B:B,ROW())="","",VLOOKUP(INDEX(B:B,ROW()),'Produtos Bazar'!$A$8:$K$107,11,FALSE))</f>
        <v/>
      </c>
      <c r="F319" s="43" t="str">
        <f t="shared" si="1"/>
        <v/>
      </c>
      <c r="G319" s="32"/>
      <c r="H319" s="32"/>
      <c r="I319" s="32"/>
      <c r="J319" s="32"/>
    </row>
    <row r="320">
      <c r="A320" s="31"/>
      <c r="B320" s="32"/>
      <c r="C320" s="35" t="str">
        <f t="array" ref="C320">IF(INDEX(B:B,ROW())="","",VLOOKUP(INDEX(B:B,ROW()),'Produtos Bazar'!$A$8:$K$107,2,FALSE))</f>
        <v/>
      </c>
      <c r="D320" s="37"/>
      <c r="E320" s="43" t="str">
        <f t="array" ref="E320">IF(INDEX(B:B,ROW())="","",VLOOKUP(INDEX(B:B,ROW()),'Produtos Bazar'!$A$8:$K$107,11,FALSE))</f>
        <v/>
      </c>
      <c r="F320" s="43" t="str">
        <f t="shared" si="1"/>
        <v/>
      </c>
      <c r="G320" s="32"/>
      <c r="H320" s="32"/>
      <c r="I320" s="32"/>
      <c r="J320" s="32"/>
    </row>
    <row r="321">
      <c r="A321" s="31"/>
      <c r="B321" s="32"/>
      <c r="C321" s="35" t="str">
        <f t="array" ref="C321">IF(INDEX(B:B,ROW())="","",VLOOKUP(INDEX(B:B,ROW()),'Produtos Bazar'!$A$8:$K$107,2,FALSE))</f>
        <v/>
      </c>
      <c r="D321" s="37"/>
      <c r="E321" s="43" t="str">
        <f t="array" ref="E321">IF(INDEX(B:B,ROW())="","",VLOOKUP(INDEX(B:B,ROW()),'Produtos Bazar'!$A$8:$K$107,11,FALSE))</f>
        <v/>
      </c>
      <c r="F321" s="43" t="str">
        <f t="shared" si="1"/>
        <v/>
      </c>
      <c r="G321" s="32"/>
      <c r="H321" s="32"/>
      <c r="I321" s="32"/>
      <c r="J321" s="32"/>
    </row>
    <row r="322">
      <c r="A322" s="31"/>
      <c r="B322" s="32"/>
      <c r="C322" s="35" t="str">
        <f t="array" ref="C322">IF(INDEX(B:B,ROW())="","",VLOOKUP(INDEX(B:B,ROW()),'Produtos Bazar'!$A$8:$K$107,2,FALSE))</f>
        <v/>
      </c>
      <c r="D322" s="37"/>
      <c r="E322" s="43" t="str">
        <f t="array" ref="E322">IF(INDEX(B:B,ROW())="","",VLOOKUP(INDEX(B:B,ROW()),'Produtos Bazar'!$A$8:$K$107,11,FALSE))</f>
        <v/>
      </c>
      <c r="F322" s="43" t="str">
        <f t="shared" si="1"/>
        <v/>
      </c>
      <c r="G322" s="32"/>
      <c r="H322" s="32"/>
      <c r="I322" s="32"/>
      <c r="J322" s="32"/>
    </row>
    <row r="323">
      <c r="A323" s="31"/>
      <c r="B323" s="32"/>
      <c r="C323" s="35" t="str">
        <f t="array" ref="C323">IF(INDEX(B:B,ROW())="","",VLOOKUP(INDEX(B:B,ROW()),'Produtos Bazar'!$A$8:$K$107,2,FALSE))</f>
        <v/>
      </c>
      <c r="D323" s="37"/>
      <c r="E323" s="43" t="str">
        <f t="array" ref="E323">IF(INDEX(B:B,ROW())="","",VLOOKUP(INDEX(B:B,ROW()),'Produtos Bazar'!$A$8:$K$107,11,FALSE))</f>
        <v/>
      </c>
      <c r="F323" s="43" t="str">
        <f t="shared" si="1"/>
        <v/>
      </c>
      <c r="G323" s="32"/>
      <c r="H323" s="32"/>
      <c r="I323" s="32"/>
      <c r="J323" s="32"/>
    </row>
    <row r="324">
      <c r="A324" s="31"/>
      <c r="B324" s="32"/>
      <c r="C324" s="35" t="str">
        <f t="array" ref="C324">IF(INDEX(B:B,ROW())="","",VLOOKUP(INDEX(B:B,ROW()),'Produtos Bazar'!$A$8:$K$107,2,FALSE))</f>
        <v/>
      </c>
      <c r="D324" s="37"/>
      <c r="E324" s="43" t="str">
        <f t="array" ref="E324">IF(INDEX(B:B,ROW())="","",VLOOKUP(INDEX(B:B,ROW()),'Produtos Bazar'!$A$8:$K$107,11,FALSE))</f>
        <v/>
      </c>
      <c r="F324" s="43" t="str">
        <f t="shared" si="1"/>
        <v/>
      </c>
      <c r="G324" s="32"/>
      <c r="H324" s="32"/>
      <c r="I324" s="32"/>
      <c r="J324" s="32"/>
    </row>
    <row r="325">
      <c r="A325" s="31"/>
      <c r="B325" s="32"/>
      <c r="C325" s="35" t="str">
        <f t="array" ref="C325">IF(INDEX(B:B,ROW())="","",VLOOKUP(INDEX(B:B,ROW()),'Produtos Bazar'!$A$8:$K$107,2,FALSE))</f>
        <v/>
      </c>
      <c r="D325" s="37"/>
      <c r="E325" s="43" t="str">
        <f t="array" ref="E325">IF(INDEX(B:B,ROW())="","",VLOOKUP(INDEX(B:B,ROW()),'Produtos Bazar'!$A$8:$K$107,11,FALSE))</f>
        <v/>
      </c>
      <c r="F325" s="43" t="str">
        <f t="shared" si="1"/>
        <v/>
      </c>
      <c r="G325" s="32"/>
      <c r="H325" s="32"/>
      <c r="I325" s="32"/>
      <c r="J325" s="32"/>
    </row>
    <row r="326">
      <c r="A326" s="31"/>
      <c r="B326" s="32"/>
      <c r="C326" s="35" t="str">
        <f t="array" ref="C326">IF(INDEX(B:B,ROW())="","",VLOOKUP(INDEX(B:B,ROW()),'Produtos Bazar'!$A$8:$K$107,2,FALSE))</f>
        <v/>
      </c>
      <c r="D326" s="37"/>
      <c r="E326" s="43" t="str">
        <f t="array" ref="E326">IF(INDEX(B:B,ROW())="","",VLOOKUP(INDEX(B:B,ROW()),'Produtos Bazar'!$A$8:$K$107,11,FALSE))</f>
        <v/>
      </c>
      <c r="F326" s="43" t="str">
        <f t="shared" si="1"/>
        <v/>
      </c>
      <c r="G326" s="32"/>
      <c r="H326" s="32"/>
      <c r="I326" s="32"/>
      <c r="J326" s="32"/>
    </row>
    <row r="327">
      <c r="A327" s="31"/>
      <c r="B327" s="32"/>
      <c r="C327" s="35" t="str">
        <f t="array" ref="C327">IF(INDEX(B:B,ROW())="","",VLOOKUP(INDEX(B:B,ROW()),'Produtos Bazar'!$A$8:$K$107,2,FALSE))</f>
        <v/>
      </c>
      <c r="D327" s="37"/>
      <c r="E327" s="43" t="str">
        <f t="array" ref="E327">IF(INDEX(B:B,ROW())="","",VLOOKUP(INDEX(B:B,ROW()),'Produtos Bazar'!$A$8:$K$107,11,FALSE))</f>
        <v/>
      </c>
      <c r="F327" s="43" t="str">
        <f t="shared" si="1"/>
        <v/>
      </c>
      <c r="G327" s="32"/>
      <c r="H327" s="32"/>
      <c r="I327" s="32"/>
      <c r="J327" s="32"/>
    </row>
    <row r="328">
      <c r="A328" s="31"/>
      <c r="B328" s="32"/>
      <c r="C328" s="35" t="str">
        <f t="array" ref="C328">IF(INDEX(B:B,ROW())="","",VLOOKUP(INDEX(B:B,ROW()),'Produtos Bazar'!$A$8:$K$107,2,FALSE))</f>
        <v/>
      </c>
      <c r="D328" s="37"/>
      <c r="E328" s="43" t="str">
        <f t="array" ref="E328">IF(INDEX(B:B,ROW())="","",VLOOKUP(INDEX(B:B,ROW()),'Produtos Bazar'!$A$8:$K$107,11,FALSE))</f>
        <v/>
      </c>
      <c r="F328" s="43" t="str">
        <f t="shared" si="1"/>
        <v/>
      </c>
      <c r="G328" s="32"/>
      <c r="H328" s="32"/>
      <c r="I328" s="32"/>
      <c r="J328" s="32"/>
    </row>
    <row r="329">
      <c r="A329" s="31"/>
      <c r="B329" s="32"/>
      <c r="C329" s="35" t="str">
        <f t="array" ref="C329">IF(INDEX(B:B,ROW())="","",VLOOKUP(INDEX(B:B,ROW()),'Produtos Bazar'!$A$8:$K$107,2,FALSE))</f>
        <v/>
      </c>
      <c r="D329" s="37"/>
      <c r="E329" s="43" t="str">
        <f t="array" ref="E329">IF(INDEX(B:B,ROW())="","",VLOOKUP(INDEX(B:B,ROW()),'Produtos Bazar'!$A$8:$K$107,11,FALSE))</f>
        <v/>
      </c>
      <c r="F329" s="43" t="str">
        <f t="shared" si="1"/>
        <v/>
      </c>
      <c r="G329" s="32"/>
      <c r="H329" s="32"/>
      <c r="I329" s="32"/>
      <c r="J329" s="32"/>
    </row>
    <row r="330">
      <c r="A330" s="31"/>
      <c r="B330" s="32"/>
      <c r="C330" s="35" t="str">
        <f t="array" ref="C330">IF(INDEX(B:B,ROW())="","",VLOOKUP(INDEX(B:B,ROW()),'Produtos Bazar'!$A$8:$K$107,2,FALSE))</f>
        <v/>
      </c>
      <c r="D330" s="37"/>
      <c r="E330" s="43" t="str">
        <f t="array" ref="E330">IF(INDEX(B:B,ROW())="","",VLOOKUP(INDEX(B:B,ROW()),'Produtos Bazar'!$A$8:$K$107,11,FALSE))</f>
        <v/>
      </c>
      <c r="F330" s="43" t="str">
        <f t="shared" si="1"/>
        <v/>
      </c>
      <c r="G330" s="32"/>
      <c r="H330" s="32"/>
      <c r="I330" s="32"/>
      <c r="J330" s="32"/>
    </row>
    <row r="331">
      <c r="A331" s="31"/>
      <c r="B331" s="32"/>
      <c r="C331" s="35" t="str">
        <f t="array" ref="C331">IF(INDEX(B:B,ROW())="","",VLOOKUP(INDEX(B:B,ROW()),'Produtos Bazar'!$A$8:$K$107,2,FALSE))</f>
        <v/>
      </c>
      <c r="D331" s="37"/>
      <c r="E331" s="43" t="str">
        <f t="array" ref="E331">IF(INDEX(B:B,ROW())="","",VLOOKUP(INDEX(B:B,ROW()),'Produtos Bazar'!$A$8:$K$107,11,FALSE))</f>
        <v/>
      </c>
      <c r="F331" s="43" t="str">
        <f t="shared" si="1"/>
        <v/>
      </c>
      <c r="G331" s="32"/>
      <c r="H331" s="32"/>
      <c r="I331" s="32"/>
      <c r="J331" s="32"/>
    </row>
    <row r="332">
      <c r="A332" s="31"/>
      <c r="B332" s="32"/>
      <c r="C332" s="35" t="str">
        <f t="array" ref="C332">IF(INDEX(B:B,ROW())="","",VLOOKUP(INDEX(B:B,ROW()),'Produtos Bazar'!$A$8:$K$107,2,FALSE))</f>
        <v/>
      </c>
      <c r="D332" s="37"/>
      <c r="E332" s="43" t="str">
        <f t="array" ref="E332">IF(INDEX(B:B,ROW())="","",VLOOKUP(INDEX(B:B,ROW()),'Produtos Bazar'!$A$8:$K$107,11,FALSE))</f>
        <v/>
      </c>
      <c r="F332" s="43" t="str">
        <f t="shared" si="1"/>
        <v/>
      </c>
      <c r="G332" s="32"/>
      <c r="H332" s="32"/>
      <c r="I332" s="32"/>
      <c r="J332" s="32"/>
    </row>
    <row r="333">
      <c r="A333" s="31"/>
      <c r="B333" s="32"/>
      <c r="C333" s="35" t="str">
        <f t="array" ref="C333">IF(INDEX(B:B,ROW())="","",VLOOKUP(INDEX(B:B,ROW()),'Produtos Bazar'!$A$8:$K$107,2,FALSE))</f>
        <v/>
      </c>
      <c r="D333" s="37"/>
      <c r="E333" s="43" t="str">
        <f t="array" ref="E333">IF(INDEX(B:B,ROW())="","",VLOOKUP(INDEX(B:B,ROW()),'Produtos Bazar'!$A$8:$K$107,11,FALSE))</f>
        <v/>
      </c>
      <c r="F333" s="43" t="str">
        <f t="shared" si="1"/>
        <v/>
      </c>
      <c r="G333" s="32"/>
      <c r="H333" s="32"/>
      <c r="I333" s="32"/>
      <c r="J333" s="32"/>
    </row>
    <row r="334">
      <c r="A334" s="31"/>
      <c r="B334" s="32"/>
      <c r="C334" s="35" t="str">
        <f t="array" ref="C334">IF(INDEX(B:B,ROW())="","",VLOOKUP(INDEX(B:B,ROW()),'Produtos Bazar'!$A$8:$K$107,2,FALSE))</f>
        <v/>
      </c>
      <c r="D334" s="37"/>
      <c r="E334" s="43" t="str">
        <f t="array" ref="E334">IF(INDEX(B:B,ROW())="","",VLOOKUP(INDEX(B:B,ROW()),'Produtos Bazar'!$A$8:$K$107,11,FALSE))</f>
        <v/>
      </c>
      <c r="F334" s="43" t="str">
        <f t="shared" si="1"/>
        <v/>
      </c>
      <c r="G334" s="32"/>
      <c r="H334" s="32"/>
      <c r="I334" s="32"/>
      <c r="J334" s="32"/>
    </row>
    <row r="335">
      <c r="A335" s="31"/>
      <c r="B335" s="32"/>
      <c r="C335" s="35" t="str">
        <f t="array" ref="C335">IF(INDEX(B:B,ROW())="","",VLOOKUP(INDEX(B:B,ROW()),'Produtos Bazar'!$A$8:$K$107,2,FALSE))</f>
        <v/>
      </c>
      <c r="D335" s="37"/>
      <c r="E335" s="43" t="str">
        <f t="array" ref="E335">IF(INDEX(B:B,ROW())="","",VLOOKUP(INDEX(B:B,ROW()),'Produtos Bazar'!$A$8:$K$107,11,FALSE))</f>
        <v/>
      </c>
      <c r="F335" s="43" t="str">
        <f t="shared" si="1"/>
        <v/>
      </c>
      <c r="G335" s="32"/>
      <c r="H335" s="32"/>
      <c r="I335" s="32"/>
      <c r="J335" s="32"/>
    </row>
    <row r="336">
      <c r="A336" s="31"/>
      <c r="B336" s="32"/>
      <c r="C336" s="35" t="str">
        <f t="array" ref="C336">IF(INDEX(B:B,ROW())="","",VLOOKUP(INDEX(B:B,ROW()),'Produtos Bazar'!$A$8:$K$107,2,FALSE))</f>
        <v/>
      </c>
      <c r="D336" s="37"/>
      <c r="E336" s="43" t="str">
        <f t="array" ref="E336">IF(INDEX(B:B,ROW())="","",VLOOKUP(INDEX(B:B,ROW()),'Produtos Bazar'!$A$8:$K$107,11,FALSE))</f>
        <v/>
      </c>
      <c r="F336" s="43" t="str">
        <f t="shared" si="1"/>
        <v/>
      </c>
      <c r="G336" s="32"/>
      <c r="H336" s="32"/>
      <c r="I336" s="32"/>
      <c r="J336" s="32"/>
    </row>
    <row r="337">
      <c r="A337" s="31"/>
      <c r="B337" s="32"/>
      <c r="C337" s="35" t="str">
        <f t="array" ref="C337">IF(INDEX(B:B,ROW())="","",VLOOKUP(INDEX(B:B,ROW()),'Produtos Bazar'!$A$8:$K$107,2,FALSE))</f>
        <v/>
      </c>
      <c r="D337" s="37"/>
      <c r="E337" s="43" t="str">
        <f t="array" ref="E337">IF(INDEX(B:B,ROW())="","",VLOOKUP(INDEX(B:B,ROW()),'Produtos Bazar'!$A$8:$K$107,11,FALSE))</f>
        <v/>
      </c>
      <c r="F337" s="43" t="str">
        <f t="shared" si="1"/>
        <v/>
      </c>
      <c r="G337" s="32"/>
      <c r="H337" s="32"/>
      <c r="I337" s="32"/>
      <c r="J337" s="32"/>
    </row>
    <row r="338">
      <c r="A338" s="31"/>
      <c r="B338" s="32"/>
      <c r="C338" s="35" t="str">
        <f t="array" ref="C338">IF(INDEX(B:B,ROW())="","",VLOOKUP(INDEX(B:B,ROW()),'Produtos Bazar'!$A$8:$K$107,2,FALSE))</f>
        <v/>
      </c>
      <c r="D338" s="37"/>
      <c r="E338" s="43" t="str">
        <f t="array" ref="E338">IF(INDEX(B:B,ROW())="","",VLOOKUP(INDEX(B:B,ROW()),'Produtos Bazar'!$A$8:$K$107,11,FALSE))</f>
        <v/>
      </c>
      <c r="F338" s="43" t="str">
        <f t="shared" si="1"/>
        <v/>
      </c>
      <c r="G338" s="32"/>
      <c r="H338" s="32"/>
      <c r="I338" s="32"/>
      <c r="J338" s="32"/>
    </row>
    <row r="339">
      <c r="A339" s="31"/>
      <c r="B339" s="32"/>
      <c r="C339" s="35" t="str">
        <f t="array" ref="C339">IF(INDEX(B:B,ROW())="","",VLOOKUP(INDEX(B:B,ROW()),'Produtos Bazar'!$A$8:$K$107,2,FALSE))</f>
        <v/>
      </c>
      <c r="D339" s="37"/>
      <c r="E339" s="43" t="str">
        <f t="array" ref="E339">IF(INDEX(B:B,ROW())="","",VLOOKUP(INDEX(B:B,ROW()),'Produtos Bazar'!$A$8:$K$107,11,FALSE))</f>
        <v/>
      </c>
      <c r="F339" s="43" t="str">
        <f t="shared" si="1"/>
        <v/>
      </c>
      <c r="G339" s="32"/>
      <c r="H339" s="32"/>
      <c r="I339" s="32"/>
      <c r="J339" s="32"/>
    </row>
    <row r="340">
      <c r="A340" s="31"/>
      <c r="B340" s="32"/>
      <c r="C340" s="35" t="str">
        <f t="array" ref="C340">IF(INDEX(B:B,ROW())="","",VLOOKUP(INDEX(B:B,ROW()),'Produtos Bazar'!$A$8:$K$107,2,FALSE))</f>
        <v/>
      </c>
      <c r="D340" s="37"/>
      <c r="E340" s="43" t="str">
        <f t="array" ref="E340">IF(INDEX(B:B,ROW())="","",VLOOKUP(INDEX(B:B,ROW()),'Produtos Bazar'!$A$8:$K$107,11,FALSE))</f>
        <v/>
      </c>
      <c r="F340" s="43" t="str">
        <f t="shared" si="1"/>
        <v/>
      </c>
      <c r="G340" s="32"/>
      <c r="H340" s="32"/>
      <c r="I340" s="32"/>
      <c r="J340" s="32"/>
    </row>
    <row r="341">
      <c r="A341" s="31"/>
      <c r="B341" s="32"/>
      <c r="C341" s="35" t="str">
        <f t="array" ref="C341">IF(INDEX(B:B,ROW())="","",VLOOKUP(INDEX(B:B,ROW()),'Produtos Bazar'!$A$8:$K$107,2,FALSE))</f>
        <v/>
      </c>
      <c r="D341" s="37"/>
      <c r="E341" s="43" t="str">
        <f t="array" ref="E341">IF(INDEX(B:B,ROW())="","",VLOOKUP(INDEX(B:B,ROW()),'Produtos Bazar'!$A$8:$K$107,11,FALSE))</f>
        <v/>
      </c>
      <c r="F341" s="43" t="str">
        <f t="shared" si="1"/>
        <v/>
      </c>
      <c r="G341" s="32"/>
      <c r="H341" s="32"/>
      <c r="I341" s="32"/>
      <c r="J341" s="32"/>
    </row>
    <row r="342">
      <c r="A342" s="31"/>
      <c r="B342" s="32"/>
      <c r="C342" s="35" t="str">
        <f t="array" ref="C342">IF(INDEX(B:B,ROW())="","",VLOOKUP(INDEX(B:B,ROW()),'Produtos Bazar'!$A$8:$K$107,2,FALSE))</f>
        <v/>
      </c>
      <c r="D342" s="37"/>
      <c r="E342" s="43" t="str">
        <f t="array" ref="E342">IF(INDEX(B:B,ROW())="","",VLOOKUP(INDEX(B:B,ROW()),'Produtos Bazar'!$A$8:$K$107,11,FALSE))</f>
        <v/>
      </c>
      <c r="F342" s="43" t="str">
        <f t="shared" si="1"/>
        <v/>
      </c>
      <c r="G342" s="32"/>
      <c r="H342" s="32"/>
      <c r="I342" s="32"/>
      <c r="J342" s="32"/>
    </row>
    <row r="343">
      <c r="A343" s="31"/>
      <c r="B343" s="32"/>
      <c r="C343" s="35" t="str">
        <f t="array" ref="C343">IF(INDEX(B:B,ROW())="","",VLOOKUP(INDEX(B:B,ROW()),'Produtos Bazar'!$A$8:$K$107,2,FALSE))</f>
        <v/>
      </c>
      <c r="D343" s="37"/>
      <c r="E343" s="43" t="str">
        <f t="array" ref="E343">IF(INDEX(B:B,ROW())="","",VLOOKUP(INDEX(B:B,ROW()),'Produtos Bazar'!$A$8:$K$107,11,FALSE))</f>
        <v/>
      </c>
      <c r="F343" s="43" t="str">
        <f t="shared" si="1"/>
        <v/>
      </c>
      <c r="G343" s="32"/>
      <c r="H343" s="32"/>
      <c r="I343" s="32"/>
      <c r="J343" s="32"/>
    </row>
    <row r="344">
      <c r="A344" s="31"/>
      <c r="B344" s="32"/>
      <c r="C344" s="35" t="str">
        <f t="array" ref="C344">IF(INDEX(B:B,ROW())="","",VLOOKUP(INDEX(B:B,ROW()),'Produtos Bazar'!$A$8:$K$107,2,FALSE))</f>
        <v/>
      </c>
      <c r="D344" s="37"/>
      <c r="E344" s="43" t="str">
        <f t="array" ref="E344">IF(INDEX(B:B,ROW())="","",VLOOKUP(INDEX(B:B,ROW()),'Produtos Bazar'!$A$8:$K$107,11,FALSE))</f>
        <v/>
      </c>
      <c r="F344" s="43" t="str">
        <f t="shared" si="1"/>
        <v/>
      </c>
      <c r="G344" s="32"/>
      <c r="H344" s="32"/>
      <c r="I344" s="32"/>
      <c r="J344" s="32"/>
    </row>
    <row r="345">
      <c r="A345" s="31"/>
      <c r="B345" s="32"/>
      <c r="C345" s="35" t="str">
        <f t="array" ref="C345">IF(INDEX(B:B,ROW())="","",VLOOKUP(INDEX(B:B,ROW()),'Produtos Bazar'!$A$8:$K$107,2,FALSE))</f>
        <v/>
      </c>
      <c r="D345" s="37"/>
      <c r="E345" s="43" t="str">
        <f t="array" ref="E345">IF(INDEX(B:B,ROW())="","",VLOOKUP(INDEX(B:B,ROW()),'Produtos Bazar'!$A$8:$K$107,11,FALSE))</f>
        <v/>
      </c>
      <c r="F345" s="43" t="str">
        <f t="shared" si="1"/>
        <v/>
      </c>
      <c r="G345" s="32"/>
      <c r="H345" s="32"/>
      <c r="I345" s="32"/>
      <c r="J345" s="32"/>
    </row>
    <row r="346">
      <c r="A346" s="31"/>
      <c r="B346" s="32"/>
      <c r="C346" s="35" t="str">
        <f t="array" ref="C346">IF(INDEX(B:B,ROW())="","",VLOOKUP(INDEX(B:B,ROW()),'Produtos Bazar'!$A$8:$K$107,2,FALSE))</f>
        <v/>
      </c>
      <c r="D346" s="37"/>
      <c r="E346" s="43" t="str">
        <f t="array" ref="E346">IF(INDEX(B:B,ROW())="","",VLOOKUP(INDEX(B:B,ROW()),'Produtos Bazar'!$A$8:$K$107,11,FALSE))</f>
        <v/>
      </c>
      <c r="F346" s="43" t="str">
        <f t="shared" si="1"/>
        <v/>
      </c>
      <c r="G346" s="32"/>
      <c r="H346" s="32"/>
      <c r="I346" s="32"/>
      <c r="J346" s="32"/>
    </row>
    <row r="347">
      <c r="A347" s="31"/>
      <c r="B347" s="32"/>
      <c r="C347" s="35" t="str">
        <f t="array" ref="C347">IF(INDEX(B:B,ROW())="","",VLOOKUP(INDEX(B:B,ROW()),'Produtos Bazar'!$A$8:$K$107,2,FALSE))</f>
        <v/>
      </c>
      <c r="D347" s="37"/>
      <c r="E347" s="43" t="str">
        <f t="array" ref="E347">IF(INDEX(B:B,ROW())="","",VLOOKUP(INDEX(B:B,ROW()),'Produtos Bazar'!$A$8:$K$107,11,FALSE))</f>
        <v/>
      </c>
      <c r="F347" s="43" t="str">
        <f t="shared" si="1"/>
        <v/>
      </c>
      <c r="G347" s="32"/>
      <c r="H347" s="32"/>
      <c r="I347" s="32"/>
      <c r="J347" s="32"/>
    </row>
    <row r="348">
      <c r="A348" s="31"/>
      <c r="B348" s="32"/>
      <c r="C348" s="35" t="str">
        <f t="array" ref="C348">IF(INDEX(B:B,ROW())="","",VLOOKUP(INDEX(B:B,ROW()),'Produtos Bazar'!$A$8:$K$107,2,FALSE))</f>
        <v/>
      </c>
      <c r="D348" s="37"/>
      <c r="E348" s="43" t="str">
        <f t="array" ref="E348">IF(INDEX(B:B,ROW())="","",VLOOKUP(INDEX(B:B,ROW()),'Produtos Bazar'!$A$8:$K$107,11,FALSE))</f>
        <v/>
      </c>
      <c r="F348" s="43" t="str">
        <f t="shared" si="1"/>
        <v/>
      </c>
      <c r="G348" s="32"/>
      <c r="H348" s="32"/>
      <c r="I348" s="32"/>
      <c r="J348" s="32"/>
    </row>
    <row r="349">
      <c r="A349" s="31"/>
      <c r="B349" s="32"/>
      <c r="C349" s="35" t="str">
        <f t="array" ref="C349">IF(INDEX(B:B,ROW())="","",VLOOKUP(INDEX(B:B,ROW()),'Produtos Bazar'!$A$8:$K$107,2,FALSE))</f>
        <v/>
      </c>
      <c r="D349" s="37"/>
      <c r="E349" s="43" t="str">
        <f t="array" ref="E349">IF(INDEX(B:B,ROW())="","",VLOOKUP(INDEX(B:B,ROW()),'Produtos Bazar'!$A$8:$K$107,11,FALSE))</f>
        <v/>
      </c>
      <c r="F349" s="43" t="str">
        <f t="shared" si="1"/>
        <v/>
      </c>
      <c r="G349" s="32"/>
      <c r="H349" s="32"/>
      <c r="I349" s="32"/>
      <c r="J349" s="32"/>
    </row>
    <row r="350">
      <c r="A350" s="31"/>
      <c r="B350" s="32"/>
      <c r="C350" s="35" t="str">
        <f t="array" ref="C350">IF(INDEX(B:B,ROW())="","",VLOOKUP(INDEX(B:B,ROW()),'Produtos Bazar'!$A$8:$K$107,2,FALSE))</f>
        <v/>
      </c>
      <c r="D350" s="37"/>
      <c r="E350" s="43" t="str">
        <f t="array" ref="E350">IF(INDEX(B:B,ROW())="","",VLOOKUP(INDEX(B:B,ROW()),'Produtos Bazar'!$A$8:$K$107,11,FALSE))</f>
        <v/>
      </c>
      <c r="F350" s="43" t="str">
        <f t="shared" si="1"/>
        <v/>
      </c>
      <c r="G350" s="32"/>
      <c r="H350" s="32"/>
      <c r="I350" s="32"/>
      <c r="J350" s="32"/>
    </row>
    <row r="351">
      <c r="A351" s="31"/>
      <c r="B351" s="32"/>
      <c r="C351" s="35" t="str">
        <f t="array" ref="C351">IF(INDEX(B:B,ROW())="","",VLOOKUP(INDEX(B:B,ROW()),'Produtos Bazar'!$A$8:$K$107,2,FALSE))</f>
        <v/>
      </c>
      <c r="D351" s="37"/>
      <c r="E351" s="43" t="str">
        <f t="array" ref="E351">IF(INDEX(B:B,ROW())="","",VLOOKUP(INDEX(B:B,ROW()),'Produtos Bazar'!$A$8:$K$107,11,FALSE))</f>
        <v/>
      </c>
      <c r="F351" s="43" t="str">
        <f t="shared" si="1"/>
        <v/>
      </c>
      <c r="G351" s="32"/>
      <c r="H351" s="32"/>
      <c r="I351" s="32"/>
      <c r="J351" s="32"/>
    </row>
    <row r="352">
      <c r="A352" s="31"/>
      <c r="B352" s="32"/>
      <c r="C352" s="35" t="str">
        <f t="array" ref="C352">IF(INDEX(B:B,ROW())="","",VLOOKUP(INDEX(B:B,ROW()),'Produtos Bazar'!$A$8:$K$107,2,FALSE))</f>
        <v/>
      </c>
      <c r="D352" s="37"/>
      <c r="E352" s="43" t="str">
        <f t="array" ref="E352">IF(INDEX(B:B,ROW())="","",VLOOKUP(INDEX(B:B,ROW()),'Produtos Bazar'!$A$8:$K$107,11,FALSE))</f>
        <v/>
      </c>
      <c r="F352" s="43" t="str">
        <f t="shared" si="1"/>
        <v/>
      </c>
      <c r="G352" s="32"/>
      <c r="H352" s="32"/>
      <c r="I352" s="32"/>
      <c r="J352" s="32"/>
    </row>
    <row r="353">
      <c r="A353" s="31"/>
      <c r="B353" s="32"/>
      <c r="C353" s="35" t="str">
        <f t="array" ref="C353">IF(INDEX(B:B,ROW())="","",VLOOKUP(INDEX(B:B,ROW()),'Produtos Bazar'!$A$8:$K$107,2,FALSE))</f>
        <v/>
      </c>
      <c r="D353" s="37"/>
      <c r="E353" s="43" t="str">
        <f t="array" ref="E353">IF(INDEX(B:B,ROW())="","",VLOOKUP(INDEX(B:B,ROW()),'Produtos Bazar'!$A$8:$K$107,11,FALSE))</f>
        <v/>
      </c>
      <c r="F353" s="43" t="str">
        <f t="shared" si="1"/>
        <v/>
      </c>
      <c r="G353" s="32"/>
      <c r="H353" s="32"/>
      <c r="I353" s="32"/>
      <c r="J353" s="32"/>
    </row>
    <row r="354">
      <c r="A354" s="31"/>
      <c r="B354" s="32"/>
      <c r="C354" s="35" t="str">
        <f t="array" ref="C354">IF(INDEX(B:B,ROW())="","",VLOOKUP(INDEX(B:B,ROW()),'Produtos Bazar'!$A$8:$K$107,2,FALSE))</f>
        <v/>
      </c>
      <c r="D354" s="37"/>
      <c r="E354" s="43" t="str">
        <f t="array" ref="E354">IF(INDEX(B:B,ROW())="","",VLOOKUP(INDEX(B:B,ROW()),'Produtos Bazar'!$A$8:$K$107,11,FALSE))</f>
        <v/>
      </c>
      <c r="F354" s="43" t="str">
        <f t="shared" si="1"/>
        <v/>
      </c>
      <c r="G354" s="32"/>
      <c r="H354" s="32"/>
      <c r="I354" s="32"/>
      <c r="J354" s="32"/>
    </row>
    <row r="355">
      <c r="A355" s="31"/>
      <c r="B355" s="32"/>
      <c r="C355" s="35" t="str">
        <f t="array" ref="C355">IF(INDEX(B:B,ROW())="","",VLOOKUP(INDEX(B:B,ROW()),'Produtos Bazar'!$A$8:$K$107,2,FALSE))</f>
        <v/>
      </c>
      <c r="D355" s="37"/>
      <c r="E355" s="43" t="str">
        <f t="array" ref="E355">IF(INDEX(B:B,ROW())="","",VLOOKUP(INDEX(B:B,ROW()),'Produtos Bazar'!$A$8:$K$107,11,FALSE))</f>
        <v/>
      </c>
      <c r="F355" s="43" t="str">
        <f t="shared" si="1"/>
        <v/>
      </c>
      <c r="G355" s="32"/>
      <c r="H355" s="32"/>
      <c r="I355" s="32"/>
      <c r="J355" s="32"/>
    </row>
    <row r="356">
      <c r="A356" s="31"/>
      <c r="B356" s="32"/>
      <c r="C356" s="35" t="str">
        <f t="array" ref="C356">IF(INDEX(B:B,ROW())="","",VLOOKUP(INDEX(B:B,ROW()),'Produtos Bazar'!$A$8:$K$107,2,FALSE))</f>
        <v/>
      </c>
      <c r="D356" s="37"/>
      <c r="E356" s="43" t="str">
        <f t="array" ref="E356">IF(INDEX(B:B,ROW())="","",VLOOKUP(INDEX(B:B,ROW()),'Produtos Bazar'!$A$8:$K$107,11,FALSE))</f>
        <v/>
      </c>
      <c r="F356" s="43" t="str">
        <f t="shared" si="1"/>
        <v/>
      </c>
      <c r="G356" s="32"/>
      <c r="H356" s="32"/>
      <c r="I356" s="32"/>
      <c r="J356" s="32"/>
    </row>
    <row r="357">
      <c r="A357" s="31"/>
      <c r="B357" s="32"/>
      <c r="C357" s="35" t="str">
        <f t="array" ref="C357">IF(INDEX(B:B,ROW())="","",VLOOKUP(INDEX(B:B,ROW()),'Produtos Bazar'!$A$8:$K$107,2,FALSE))</f>
        <v/>
      </c>
      <c r="D357" s="37"/>
      <c r="E357" s="43" t="str">
        <f t="array" ref="E357">IF(INDEX(B:B,ROW())="","",VLOOKUP(INDEX(B:B,ROW()),'Produtos Bazar'!$A$8:$K$107,11,FALSE))</f>
        <v/>
      </c>
      <c r="F357" s="43" t="str">
        <f t="shared" si="1"/>
        <v/>
      </c>
      <c r="G357" s="32"/>
      <c r="H357" s="32"/>
      <c r="I357" s="32"/>
      <c r="J357" s="32"/>
    </row>
    <row r="358">
      <c r="A358" s="31"/>
      <c r="B358" s="32"/>
      <c r="C358" s="35" t="str">
        <f t="array" ref="C358">IF(INDEX(B:B,ROW())="","",VLOOKUP(INDEX(B:B,ROW()),'Produtos Bazar'!$A$8:$K$107,2,FALSE))</f>
        <v/>
      </c>
      <c r="D358" s="37"/>
      <c r="E358" s="43" t="str">
        <f t="array" ref="E358">IF(INDEX(B:B,ROW())="","",VLOOKUP(INDEX(B:B,ROW()),'Produtos Bazar'!$A$8:$K$107,11,FALSE))</f>
        <v/>
      </c>
      <c r="F358" s="43" t="str">
        <f t="shared" si="1"/>
        <v/>
      </c>
      <c r="G358" s="32"/>
      <c r="H358" s="32"/>
      <c r="I358" s="32"/>
      <c r="J358" s="32"/>
    </row>
    <row r="359">
      <c r="A359" s="31"/>
      <c r="B359" s="32"/>
      <c r="C359" s="35" t="str">
        <f t="array" ref="C359">IF(INDEX(B:B,ROW())="","",VLOOKUP(INDEX(B:B,ROW()),'Produtos Bazar'!$A$8:$K$107,2,FALSE))</f>
        <v/>
      </c>
      <c r="D359" s="37"/>
      <c r="E359" s="43" t="str">
        <f t="array" ref="E359">IF(INDEX(B:B,ROW())="","",VLOOKUP(INDEX(B:B,ROW()),'Produtos Bazar'!$A$8:$K$107,11,FALSE))</f>
        <v/>
      </c>
      <c r="F359" s="43" t="str">
        <f t="shared" si="1"/>
        <v/>
      </c>
      <c r="G359" s="32"/>
      <c r="H359" s="32"/>
      <c r="I359" s="32"/>
      <c r="J359" s="32"/>
    </row>
    <row r="360">
      <c r="A360" s="31"/>
      <c r="B360" s="32"/>
      <c r="C360" s="35" t="str">
        <f t="array" ref="C360">IF(INDEX(B:B,ROW())="","",VLOOKUP(INDEX(B:B,ROW()),'Produtos Bazar'!$A$8:$K$107,2,FALSE))</f>
        <v/>
      </c>
      <c r="D360" s="37"/>
      <c r="E360" s="43" t="str">
        <f t="array" ref="E360">IF(INDEX(B:B,ROW())="","",VLOOKUP(INDEX(B:B,ROW()),'Produtos Bazar'!$A$8:$K$107,11,FALSE))</f>
        <v/>
      </c>
      <c r="F360" s="43" t="str">
        <f t="shared" si="1"/>
        <v/>
      </c>
      <c r="G360" s="32"/>
      <c r="H360" s="32"/>
      <c r="I360" s="32"/>
      <c r="J360" s="32"/>
    </row>
    <row r="361">
      <c r="A361" s="31"/>
      <c r="B361" s="32"/>
      <c r="C361" s="35" t="str">
        <f t="array" ref="C361">IF(INDEX(B:B,ROW())="","",VLOOKUP(INDEX(B:B,ROW()),'Produtos Bazar'!$A$8:$K$107,2,FALSE))</f>
        <v/>
      </c>
      <c r="D361" s="37"/>
      <c r="E361" s="43" t="str">
        <f t="array" ref="E361">IF(INDEX(B:B,ROW())="","",VLOOKUP(INDEX(B:B,ROW()),'Produtos Bazar'!$A$8:$K$107,11,FALSE))</f>
        <v/>
      </c>
      <c r="F361" s="43" t="str">
        <f t="shared" si="1"/>
        <v/>
      </c>
      <c r="G361" s="32"/>
      <c r="H361" s="32"/>
      <c r="I361" s="32"/>
      <c r="J361" s="32"/>
    </row>
    <row r="362">
      <c r="A362" s="31"/>
      <c r="B362" s="32"/>
      <c r="C362" s="35" t="str">
        <f t="array" ref="C362">IF(INDEX(B:B,ROW())="","",VLOOKUP(INDEX(B:B,ROW()),'Produtos Bazar'!$A$8:$K$107,2,FALSE))</f>
        <v/>
      </c>
      <c r="D362" s="37"/>
      <c r="E362" s="43" t="str">
        <f t="array" ref="E362">IF(INDEX(B:B,ROW())="","",VLOOKUP(INDEX(B:B,ROW()),'Produtos Bazar'!$A$8:$K$107,11,FALSE))</f>
        <v/>
      </c>
      <c r="F362" s="43" t="str">
        <f t="shared" si="1"/>
        <v/>
      </c>
      <c r="G362" s="32"/>
      <c r="H362" s="32"/>
      <c r="I362" s="32"/>
      <c r="J362" s="32"/>
    </row>
    <row r="363">
      <c r="A363" s="31"/>
      <c r="B363" s="32"/>
      <c r="C363" s="35" t="str">
        <f t="array" ref="C363">IF(INDEX(B:B,ROW())="","",VLOOKUP(INDEX(B:B,ROW()),'Produtos Bazar'!$A$8:$K$107,2,FALSE))</f>
        <v/>
      </c>
      <c r="D363" s="37"/>
      <c r="E363" s="43" t="str">
        <f t="array" ref="E363">IF(INDEX(B:B,ROW())="","",VLOOKUP(INDEX(B:B,ROW()),'Produtos Bazar'!$A$8:$K$107,11,FALSE))</f>
        <v/>
      </c>
      <c r="F363" s="43" t="str">
        <f t="shared" si="1"/>
        <v/>
      </c>
      <c r="G363" s="32"/>
      <c r="H363" s="32"/>
      <c r="I363" s="32"/>
      <c r="J363" s="32"/>
    </row>
    <row r="364">
      <c r="A364" s="31"/>
      <c r="B364" s="32"/>
      <c r="C364" s="35" t="str">
        <f t="array" ref="C364">IF(INDEX(B:B,ROW())="","",VLOOKUP(INDEX(B:B,ROW()),'Produtos Bazar'!$A$8:$K$107,2,FALSE))</f>
        <v/>
      </c>
      <c r="D364" s="37"/>
      <c r="E364" s="43" t="str">
        <f t="array" ref="E364">IF(INDEX(B:B,ROW())="","",VLOOKUP(INDEX(B:B,ROW()),'Produtos Bazar'!$A$8:$K$107,11,FALSE))</f>
        <v/>
      </c>
      <c r="F364" s="43" t="str">
        <f t="shared" si="1"/>
        <v/>
      </c>
      <c r="G364" s="32"/>
      <c r="H364" s="32"/>
      <c r="I364" s="32"/>
      <c r="J364" s="32"/>
    </row>
    <row r="365">
      <c r="A365" s="31"/>
      <c r="B365" s="32"/>
      <c r="C365" s="35" t="str">
        <f t="array" ref="C365">IF(INDEX(B:B,ROW())="","",VLOOKUP(INDEX(B:B,ROW()),'Produtos Bazar'!$A$8:$K$107,2,FALSE))</f>
        <v/>
      </c>
      <c r="D365" s="37"/>
      <c r="E365" s="43" t="str">
        <f t="array" ref="E365">IF(INDEX(B:B,ROW())="","",VLOOKUP(INDEX(B:B,ROW()),'Produtos Bazar'!$A$8:$K$107,11,FALSE))</f>
        <v/>
      </c>
      <c r="F365" s="43" t="str">
        <f t="shared" si="1"/>
        <v/>
      </c>
      <c r="G365" s="32"/>
      <c r="H365" s="32"/>
      <c r="I365" s="32"/>
      <c r="J365" s="32"/>
    </row>
    <row r="366">
      <c r="A366" s="31"/>
      <c r="B366" s="32"/>
      <c r="C366" s="35" t="str">
        <f t="array" ref="C366">IF(INDEX(B:B,ROW())="","",VLOOKUP(INDEX(B:B,ROW()),'Produtos Bazar'!$A$8:$K$107,2,FALSE))</f>
        <v/>
      </c>
      <c r="D366" s="37"/>
      <c r="E366" s="43" t="str">
        <f t="array" ref="E366">IF(INDEX(B:B,ROW())="","",VLOOKUP(INDEX(B:B,ROW()),'Produtos Bazar'!$A$8:$K$107,11,FALSE))</f>
        <v/>
      </c>
      <c r="F366" s="43" t="str">
        <f t="shared" si="1"/>
        <v/>
      </c>
      <c r="G366" s="32"/>
      <c r="H366" s="32"/>
      <c r="I366" s="32"/>
      <c r="J366" s="32"/>
    </row>
    <row r="367">
      <c r="A367" s="31"/>
      <c r="B367" s="32"/>
      <c r="C367" s="35" t="str">
        <f t="array" ref="C367">IF(INDEX(B:B,ROW())="","",VLOOKUP(INDEX(B:B,ROW()),'Produtos Bazar'!$A$8:$K$107,2,FALSE))</f>
        <v/>
      </c>
      <c r="D367" s="37"/>
      <c r="E367" s="43" t="str">
        <f t="array" ref="E367">IF(INDEX(B:B,ROW())="","",VLOOKUP(INDEX(B:B,ROW()),'Produtos Bazar'!$A$8:$K$107,11,FALSE))</f>
        <v/>
      </c>
      <c r="F367" s="43" t="str">
        <f t="shared" si="1"/>
        <v/>
      </c>
      <c r="G367" s="32"/>
      <c r="H367" s="32"/>
      <c r="I367" s="32"/>
      <c r="J367" s="32"/>
    </row>
    <row r="368">
      <c r="A368" s="31"/>
      <c r="B368" s="32"/>
      <c r="C368" s="35" t="str">
        <f t="array" ref="C368">IF(INDEX(B:B,ROW())="","",VLOOKUP(INDEX(B:B,ROW()),'Produtos Bazar'!$A$8:$K$107,2,FALSE))</f>
        <v/>
      </c>
      <c r="D368" s="37"/>
      <c r="E368" s="43" t="str">
        <f t="array" ref="E368">IF(INDEX(B:B,ROW())="","",VLOOKUP(INDEX(B:B,ROW()),'Produtos Bazar'!$A$8:$K$107,11,FALSE))</f>
        <v/>
      </c>
      <c r="F368" s="43" t="str">
        <f t="shared" si="1"/>
        <v/>
      </c>
      <c r="G368" s="32"/>
      <c r="H368" s="32"/>
      <c r="I368" s="32"/>
      <c r="J368" s="32"/>
    </row>
    <row r="369">
      <c r="A369" s="31"/>
      <c r="B369" s="32"/>
      <c r="C369" s="35" t="str">
        <f t="array" ref="C369">IF(INDEX(B:B,ROW())="","",VLOOKUP(INDEX(B:B,ROW()),'Produtos Bazar'!$A$8:$K$107,2,FALSE))</f>
        <v/>
      </c>
      <c r="D369" s="37"/>
      <c r="E369" s="43" t="str">
        <f t="array" ref="E369">IF(INDEX(B:B,ROW())="","",VLOOKUP(INDEX(B:B,ROW()),'Produtos Bazar'!$A$8:$K$107,11,FALSE))</f>
        <v/>
      </c>
      <c r="F369" s="43" t="str">
        <f t="shared" si="1"/>
        <v/>
      </c>
      <c r="G369" s="32"/>
      <c r="H369" s="32"/>
      <c r="I369" s="32"/>
      <c r="J369" s="32"/>
    </row>
    <row r="370">
      <c r="A370" s="31"/>
      <c r="B370" s="32"/>
      <c r="C370" s="35" t="str">
        <f t="array" ref="C370">IF(INDEX(B:B,ROW())="","",VLOOKUP(INDEX(B:B,ROW()),'Produtos Bazar'!$A$8:$K$107,2,FALSE))</f>
        <v/>
      </c>
      <c r="D370" s="37"/>
      <c r="E370" s="43" t="str">
        <f t="array" ref="E370">IF(INDEX(B:B,ROW())="","",VLOOKUP(INDEX(B:B,ROW()),'Produtos Bazar'!$A$8:$K$107,11,FALSE))</f>
        <v/>
      </c>
      <c r="F370" s="43" t="str">
        <f t="shared" si="1"/>
        <v/>
      </c>
      <c r="G370" s="32"/>
      <c r="H370" s="32"/>
      <c r="I370" s="32"/>
      <c r="J370" s="32"/>
    </row>
    <row r="371">
      <c r="A371" s="31"/>
      <c r="B371" s="32"/>
      <c r="C371" s="35" t="str">
        <f t="array" ref="C371">IF(INDEX(B:B,ROW())="","",VLOOKUP(INDEX(B:B,ROW()),'Produtos Bazar'!$A$8:$K$107,2,FALSE))</f>
        <v/>
      </c>
      <c r="D371" s="37"/>
      <c r="E371" s="43" t="str">
        <f t="array" ref="E371">IF(INDEX(B:B,ROW())="","",VLOOKUP(INDEX(B:B,ROW()),'Produtos Bazar'!$A$8:$K$107,11,FALSE))</f>
        <v/>
      </c>
      <c r="F371" s="43" t="str">
        <f t="shared" si="1"/>
        <v/>
      </c>
      <c r="G371" s="32"/>
      <c r="H371" s="32"/>
      <c r="I371" s="32"/>
      <c r="J371" s="32"/>
    </row>
    <row r="372">
      <c r="A372" s="31"/>
      <c r="B372" s="32"/>
      <c r="C372" s="35" t="str">
        <f t="array" ref="C372">IF(INDEX(B:B,ROW())="","",VLOOKUP(INDEX(B:B,ROW()),'Produtos Bazar'!$A$8:$K$107,2,FALSE))</f>
        <v/>
      </c>
      <c r="D372" s="37"/>
      <c r="E372" s="43" t="str">
        <f t="array" ref="E372">IF(INDEX(B:B,ROW())="","",VLOOKUP(INDEX(B:B,ROW()),'Produtos Bazar'!$A$8:$K$107,11,FALSE))</f>
        <v/>
      </c>
      <c r="F372" s="43" t="str">
        <f t="shared" si="1"/>
        <v/>
      </c>
      <c r="G372" s="32"/>
      <c r="H372" s="32"/>
      <c r="I372" s="32"/>
      <c r="J372" s="32"/>
    </row>
    <row r="373">
      <c r="A373" s="31"/>
      <c r="B373" s="32"/>
      <c r="C373" s="35" t="str">
        <f t="array" ref="C373">IF(INDEX(B:B,ROW())="","",VLOOKUP(INDEX(B:B,ROW()),'Produtos Bazar'!$A$8:$K$107,2,FALSE))</f>
        <v/>
      </c>
      <c r="D373" s="37"/>
      <c r="E373" s="43" t="str">
        <f t="array" ref="E373">IF(INDEX(B:B,ROW())="","",VLOOKUP(INDEX(B:B,ROW()),'Produtos Bazar'!$A$8:$K$107,11,FALSE))</f>
        <v/>
      </c>
      <c r="F373" s="43" t="str">
        <f t="shared" si="1"/>
        <v/>
      </c>
      <c r="G373" s="32"/>
      <c r="H373" s="32"/>
      <c r="I373" s="32"/>
      <c r="J373" s="32"/>
    </row>
    <row r="374">
      <c r="A374" s="31"/>
      <c r="B374" s="32"/>
      <c r="C374" s="35" t="str">
        <f t="array" ref="C374">IF(INDEX(B:B,ROW())="","",VLOOKUP(INDEX(B:B,ROW()),'Produtos Bazar'!$A$8:$K$107,2,FALSE))</f>
        <v/>
      </c>
      <c r="D374" s="37"/>
      <c r="E374" s="43" t="str">
        <f t="array" ref="E374">IF(INDEX(B:B,ROW())="","",VLOOKUP(INDEX(B:B,ROW()),'Produtos Bazar'!$A$8:$K$107,11,FALSE))</f>
        <v/>
      </c>
      <c r="F374" s="43" t="str">
        <f t="shared" si="1"/>
        <v/>
      </c>
      <c r="G374" s="32"/>
      <c r="H374" s="32"/>
      <c r="I374" s="32"/>
      <c r="J374" s="32"/>
    </row>
    <row r="375">
      <c r="A375" s="31"/>
      <c r="B375" s="32"/>
      <c r="C375" s="35" t="str">
        <f t="array" ref="C375">IF(INDEX(B:B,ROW())="","",VLOOKUP(INDEX(B:B,ROW()),'Produtos Bazar'!$A$8:$K$107,2,FALSE))</f>
        <v/>
      </c>
      <c r="D375" s="37"/>
      <c r="E375" s="43" t="str">
        <f t="array" ref="E375">IF(INDEX(B:B,ROW())="","",VLOOKUP(INDEX(B:B,ROW()),'Produtos Bazar'!$A$8:$K$107,11,FALSE))</f>
        <v/>
      </c>
      <c r="F375" s="43" t="str">
        <f t="shared" si="1"/>
        <v/>
      </c>
      <c r="G375" s="32"/>
      <c r="H375" s="32"/>
      <c r="I375" s="32"/>
      <c r="J375" s="32"/>
    </row>
    <row r="376">
      <c r="A376" s="31"/>
      <c r="B376" s="32"/>
      <c r="C376" s="35" t="str">
        <f t="array" ref="C376">IF(INDEX(B:B,ROW())="","",VLOOKUP(INDEX(B:B,ROW()),'Produtos Bazar'!$A$8:$K$107,2,FALSE))</f>
        <v/>
      </c>
      <c r="D376" s="37"/>
      <c r="E376" s="43" t="str">
        <f t="array" ref="E376">IF(INDEX(B:B,ROW())="","",VLOOKUP(INDEX(B:B,ROW()),'Produtos Bazar'!$A$8:$K$107,11,FALSE))</f>
        <v/>
      </c>
      <c r="F376" s="43" t="str">
        <f t="shared" si="1"/>
        <v/>
      </c>
      <c r="G376" s="32"/>
      <c r="H376" s="32"/>
      <c r="I376" s="32"/>
      <c r="J376" s="32"/>
    </row>
    <row r="377">
      <c r="A377" s="31"/>
      <c r="B377" s="32"/>
      <c r="C377" s="35" t="str">
        <f t="array" ref="C377">IF(INDEX(B:B,ROW())="","",VLOOKUP(INDEX(B:B,ROW()),'Produtos Bazar'!$A$8:$K$107,2,FALSE))</f>
        <v/>
      </c>
      <c r="D377" s="37"/>
      <c r="E377" s="43" t="str">
        <f t="array" ref="E377">IF(INDEX(B:B,ROW())="","",VLOOKUP(INDEX(B:B,ROW()),'Produtos Bazar'!$A$8:$K$107,11,FALSE))</f>
        <v/>
      </c>
      <c r="F377" s="43" t="str">
        <f t="shared" si="1"/>
        <v/>
      </c>
      <c r="G377" s="32"/>
      <c r="H377" s="32"/>
      <c r="I377" s="32"/>
      <c r="J377" s="32"/>
    </row>
    <row r="378">
      <c r="A378" s="31"/>
      <c r="B378" s="32"/>
      <c r="C378" s="35" t="str">
        <f t="array" ref="C378">IF(INDEX(B:B,ROW())="","",VLOOKUP(INDEX(B:B,ROW()),'Produtos Bazar'!$A$8:$K$107,2,FALSE))</f>
        <v/>
      </c>
      <c r="D378" s="37"/>
      <c r="E378" s="43" t="str">
        <f t="array" ref="E378">IF(INDEX(B:B,ROW())="","",VLOOKUP(INDEX(B:B,ROW()),'Produtos Bazar'!$A$8:$K$107,11,FALSE))</f>
        <v/>
      </c>
      <c r="F378" s="43" t="str">
        <f t="shared" si="1"/>
        <v/>
      </c>
      <c r="G378" s="32"/>
      <c r="H378" s="32"/>
      <c r="I378" s="32"/>
      <c r="J378" s="32"/>
    </row>
    <row r="379">
      <c r="A379" s="31"/>
      <c r="B379" s="32"/>
      <c r="C379" s="35" t="str">
        <f t="array" ref="C379">IF(INDEX(B:B,ROW())="","",VLOOKUP(INDEX(B:B,ROW()),'Produtos Bazar'!$A$8:$K$107,2,FALSE))</f>
        <v/>
      </c>
      <c r="D379" s="37"/>
      <c r="E379" s="43" t="str">
        <f t="array" ref="E379">IF(INDEX(B:B,ROW())="","",VLOOKUP(INDEX(B:B,ROW()),'Produtos Bazar'!$A$8:$K$107,11,FALSE))</f>
        <v/>
      </c>
      <c r="F379" s="43" t="str">
        <f t="shared" si="1"/>
        <v/>
      </c>
      <c r="G379" s="32"/>
      <c r="H379" s="32"/>
      <c r="I379" s="32"/>
      <c r="J379" s="32"/>
    </row>
    <row r="380">
      <c r="A380" s="31"/>
      <c r="B380" s="32"/>
      <c r="C380" s="35" t="str">
        <f t="array" ref="C380">IF(INDEX(B:B,ROW())="","",VLOOKUP(INDEX(B:B,ROW()),'Produtos Bazar'!$A$8:$K$107,2,FALSE))</f>
        <v/>
      </c>
      <c r="D380" s="37"/>
      <c r="E380" s="43" t="str">
        <f t="array" ref="E380">IF(INDEX(B:B,ROW())="","",VLOOKUP(INDEX(B:B,ROW()),'Produtos Bazar'!$A$8:$K$107,11,FALSE))</f>
        <v/>
      </c>
      <c r="F380" s="43" t="str">
        <f t="shared" si="1"/>
        <v/>
      </c>
      <c r="G380" s="32"/>
      <c r="H380" s="32"/>
      <c r="I380" s="32"/>
      <c r="J380" s="32"/>
    </row>
    <row r="381">
      <c r="A381" s="31"/>
      <c r="B381" s="32"/>
      <c r="C381" s="35" t="str">
        <f t="array" ref="C381">IF(INDEX(B:B,ROW())="","",VLOOKUP(INDEX(B:B,ROW()),'Produtos Bazar'!$A$8:$K$107,2,FALSE))</f>
        <v/>
      </c>
      <c r="D381" s="37"/>
      <c r="E381" s="43" t="str">
        <f t="array" ref="E381">IF(INDEX(B:B,ROW())="","",VLOOKUP(INDEX(B:B,ROW()),'Produtos Bazar'!$A$8:$K$107,11,FALSE))</f>
        <v/>
      </c>
      <c r="F381" s="43" t="str">
        <f t="shared" si="1"/>
        <v/>
      </c>
      <c r="G381" s="32"/>
      <c r="H381" s="32"/>
      <c r="I381" s="32"/>
      <c r="J381" s="32"/>
    </row>
    <row r="382">
      <c r="A382" s="31"/>
      <c r="B382" s="32"/>
      <c r="C382" s="35" t="str">
        <f t="array" ref="C382">IF(INDEX(B:B,ROW())="","",VLOOKUP(INDEX(B:B,ROW()),'Produtos Bazar'!$A$8:$K$107,2,FALSE))</f>
        <v/>
      </c>
      <c r="D382" s="37"/>
      <c r="E382" s="43" t="str">
        <f t="array" ref="E382">IF(INDEX(B:B,ROW())="","",VLOOKUP(INDEX(B:B,ROW()),'Produtos Bazar'!$A$8:$K$107,11,FALSE))</f>
        <v/>
      </c>
      <c r="F382" s="43" t="str">
        <f t="shared" si="1"/>
        <v/>
      </c>
      <c r="G382" s="32"/>
      <c r="H382" s="32"/>
      <c r="I382" s="32"/>
      <c r="J382" s="32"/>
    </row>
    <row r="383">
      <c r="A383" s="31"/>
      <c r="B383" s="32"/>
      <c r="C383" s="35" t="str">
        <f t="array" ref="C383">IF(INDEX(B:B,ROW())="","",VLOOKUP(INDEX(B:B,ROW()),'Produtos Bazar'!$A$8:$K$107,2,FALSE))</f>
        <v/>
      </c>
      <c r="D383" s="37"/>
      <c r="E383" s="43" t="str">
        <f t="array" ref="E383">IF(INDEX(B:B,ROW())="","",VLOOKUP(INDEX(B:B,ROW()),'Produtos Bazar'!$A$8:$K$107,11,FALSE))</f>
        <v/>
      </c>
      <c r="F383" s="43" t="str">
        <f t="shared" si="1"/>
        <v/>
      </c>
      <c r="G383" s="32"/>
      <c r="H383" s="32"/>
      <c r="I383" s="32"/>
      <c r="J383" s="32"/>
    </row>
    <row r="384">
      <c r="A384" s="31"/>
      <c r="B384" s="32"/>
      <c r="C384" s="35" t="str">
        <f t="array" ref="C384">IF(INDEX(B:B,ROW())="","",VLOOKUP(INDEX(B:B,ROW()),'Produtos Bazar'!$A$8:$K$107,2,FALSE))</f>
        <v/>
      </c>
      <c r="D384" s="37"/>
      <c r="E384" s="43" t="str">
        <f t="array" ref="E384">IF(INDEX(B:B,ROW())="","",VLOOKUP(INDEX(B:B,ROW()),'Produtos Bazar'!$A$8:$K$107,11,FALSE))</f>
        <v/>
      </c>
      <c r="F384" s="43" t="str">
        <f t="shared" si="1"/>
        <v/>
      </c>
      <c r="G384" s="32"/>
      <c r="H384" s="32"/>
      <c r="I384" s="32"/>
      <c r="J384" s="32"/>
    </row>
    <row r="385">
      <c r="A385" s="31"/>
      <c r="B385" s="32"/>
      <c r="C385" s="35" t="str">
        <f t="array" ref="C385">IF(INDEX(B:B,ROW())="","",VLOOKUP(INDEX(B:B,ROW()),'Produtos Bazar'!$A$8:$K$107,2,FALSE))</f>
        <v/>
      </c>
      <c r="D385" s="37"/>
      <c r="E385" s="43" t="str">
        <f t="array" ref="E385">IF(INDEX(B:B,ROW())="","",VLOOKUP(INDEX(B:B,ROW()),'Produtos Bazar'!$A$8:$K$107,11,FALSE))</f>
        <v/>
      </c>
      <c r="F385" s="43" t="str">
        <f t="shared" si="1"/>
        <v/>
      </c>
      <c r="G385" s="32"/>
      <c r="H385" s="32"/>
      <c r="I385" s="32"/>
      <c r="J385" s="32"/>
    </row>
    <row r="386">
      <c r="A386" s="31"/>
      <c r="B386" s="32"/>
      <c r="C386" s="35" t="str">
        <f t="array" ref="C386">IF(INDEX(B:B,ROW())="","",VLOOKUP(INDEX(B:B,ROW()),'Produtos Bazar'!$A$8:$K$107,2,FALSE))</f>
        <v/>
      </c>
      <c r="D386" s="37"/>
      <c r="E386" s="43" t="str">
        <f t="array" ref="E386">IF(INDEX(B:B,ROW())="","",VLOOKUP(INDEX(B:B,ROW()),'Produtos Bazar'!$A$8:$K$107,11,FALSE))</f>
        <v/>
      </c>
      <c r="F386" s="43" t="str">
        <f t="shared" si="1"/>
        <v/>
      </c>
      <c r="G386" s="32"/>
      <c r="H386" s="32"/>
      <c r="I386" s="32"/>
      <c r="J386" s="32"/>
    </row>
    <row r="387">
      <c r="A387" s="31"/>
      <c r="B387" s="32"/>
      <c r="C387" s="35" t="str">
        <f t="array" ref="C387">IF(INDEX(B:B,ROW())="","",VLOOKUP(INDEX(B:B,ROW()),'Produtos Bazar'!$A$8:$K$107,2,FALSE))</f>
        <v/>
      </c>
      <c r="D387" s="37"/>
      <c r="E387" s="43" t="str">
        <f t="array" ref="E387">IF(INDEX(B:B,ROW())="","",VLOOKUP(INDEX(B:B,ROW()),'Produtos Bazar'!$A$8:$K$107,11,FALSE))</f>
        <v/>
      </c>
      <c r="F387" s="43" t="str">
        <f t="shared" si="1"/>
        <v/>
      </c>
      <c r="G387" s="32"/>
      <c r="H387" s="32"/>
      <c r="I387" s="32"/>
      <c r="J387" s="32"/>
    </row>
    <row r="388">
      <c r="A388" s="31"/>
      <c r="B388" s="32"/>
      <c r="C388" s="35" t="str">
        <f t="array" ref="C388">IF(INDEX(B:B,ROW())="","",VLOOKUP(INDEX(B:B,ROW()),'Produtos Bazar'!$A$8:$K$107,2,FALSE))</f>
        <v/>
      </c>
      <c r="D388" s="37"/>
      <c r="E388" s="43" t="str">
        <f t="array" ref="E388">IF(INDEX(B:B,ROW())="","",VLOOKUP(INDEX(B:B,ROW()),'Produtos Bazar'!$A$8:$K$107,11,FALSE))</f>
        <v/>
      </c>
      <c r="F388" s="43" t="str">
        <f t="shared" si="1"/>
        <v/>
      </c>
      <c r="G388" s="32"/>
      <c r="H388" s="32"/>
      <c r="I388" s="32"/>
      <c r="J388" s="32"/>
    </row>
    <row r="389">
      <c r="A389" s="31"/>
      <c r="B389" s="32"/>
      <c r="C389" s="35" t="str">
        <f t="array" ref="C389">IF(INDEX(B:B,ROW())="","",VLOOKUP(INDEX(B:B,ROW()),'Produtos Bazar'!$A$8:$K$107,2,FALSE))</f>
        <v/>
      </c>
      <c r="D389" s="37"/>
      <c r="E389" s="43" t="str">
        <f t="array" ref="E389">IF(INDEX(B:B,ROW())="","",VLOOKUP(INDEX(B:B,ROW()),'Produtos Bazar'!$A$8:$K$107,11,FALSE))</f>
        <v/>
      </c>
      <c r="F389" s="43" t="str">
        <f t="shared" si="1"/>
        <v/>
      </c>
      <c r="G389" s="32"/>
      <c r="H389" s="32"/>
      <c r="I389" s="32"/>
      <c r="J389" s="32"/>
    </row>
    <row r="390">
      <c r="A390" s="31"/>
      <c r="B390" s="32"/>
      <c r="C390" s="35" t="str">
        <f t="array" ref="C390">IF(INDEX(B:B,ROW())="","",VLOOKUP(INDEX(B:B,ROW()),'Produtos Bazar'!$A$8:$K$107,2,FALSE))</f>
        <v/>
      </c>
      <c r="D390" s="37"/>
      <c r="E390" s="43" t="str">
        <f t="array" ref="E390">IF(INDEX(B:B,ROW())="","",VLOOKUP(INDEX(B:B,ROW()),'Produtos Bazar'!$A$8:$K$107,11,FALSE))</f>
        <v/>
      </c>
      <c r="F390" s="43" t="str">
        <f t="shared" si="1"/>
        <v/>
      </c>
      <c r="G390" s="32"/>
      <c r="H390" s="32"/>
      <c r="I390" s="32"/>
      <c r="J390" s="32"/>
    </row>
    <row r="391">
      <c r="A391" s="31"/>
      <c r="B391" s="32"/>
      <c r="C391" s="35" t="str">
        <f t="array" ref="C391">IF(INDEX(B:B,ROW())="","",VLOOKUP(INDEX(B:B,ROW()),'Produtos Bazar'!$A$8:$K$107,2,FALSE))</f>
        <v/>
      </c>
      <c r="D391" s="37"/>
      <c r="E391" s="43" t="str">
        <f t="array" ref="E391">IF(INDEX(B:B,ROW())="","",VLOOKUP(INDEX(B:B,ROW()),'Produtos Bazar'!$A$8:$K$107,11,FALSE))</f>
        <v/>
      </c>
      <c r="F391" s="43" t="str">
        <f t="shared" si="1"/>
        <v/>
      </c>
      <c r="G391" s="32"/>
      <c r="H391" s="32"/>
      <c r="I391" s="32"/>
      <c r="J391" s="32"/>
    </row>
    <row r="392">
      <c r="A392" s="31"/>
      <c r="B392" s="32"/>
      <c r="C392" s="35" t="str">
        <f t="array" ref="C392">IF(INDEX(B:B,ROW())="","",VLOOKUP(INDEX(B:B,ROW()),'Produtos Bazar'!$A$8:$K$107,2,FALSE))</f>
        <v/>
      </c>
      <c r="D392" s="37"/>
      <c r="E392" s="43" t="str">
        <f t="array" ref="E392">IF(INDEX(B:B,ROW())="","",VLOOKUP(INDEX(B:B,ROW()),'Produtos Bazar'!$A$8:$K$107,11,FALSE))</f>
        <v/>
      </c>
      <c r="F392" s="43" t="str">
        <f t="shared" si="1"/>
        <v/>
      </c>
      <c r="G392" s="32"/>
      <c r="H392" s="32"/>
      <c r="I392" s="32"/>
      <c r="J392" s="32"/>
    </row>
    <row r="393">
      <c r="A393" s="31"/>
      <c r="B393" s="32"/>
      <c r="C393" s="35" t="str">
        <f t="array" ref="C393">IF(INDEX(B:B,ROW())="","",VLOOKUP(INDEX(B:B,ROW()),'Produtos Bazar'!$A$8:$K$107,2,FALSE))</f>
        <v/>
      </c>
      <c r="D393" s="37"/>
      <c r="E393" s="43" t="str">
        <f t="array" ref="E393">IF(INDEX(B:B,ROW())="","",VLOOKUP(INDEX(B:B,ROW()),'Produtos Bazar'!$A$8:$K$107,11,FALSE))</f>
        <v/>
      </c>
      <c r="F393" s="43" t="str">
        <f t="shared" si="1"/>
        <v/>
      </c>
      <c r="G393" s="32"/>
      <c r="H393" s="32"/>
      <c r="I393" s="32"/>
      <c r="J393" s="32"/>
    </row>
    <row r="394">
      <c r="A394" s="31"/>
      <c r="B394" s="32"/>
      <c r="C394" s="35" t="str">
        <f t="array" ref="C394">IF(INDEX(B:B,ROW())="","",VLOOKUP(INDEX(B:B,ROW()),'Produtos Bazar'!$A$8:$K$107,2,FALSE))</f>
        <v/>
      </c>
      <c r="D394" s="37"/>
      <c r="E394" s="43" t="str">
        <f t="array" ref="E394">IF(INDEX(B:B,ROW())="","",VLOOKUP(INDEX(B:B,ROW()),'Produtos Bazar'!$A$8:$K$107,11,FALSE))</f>
        <v/>
      </c>
      <c r="F394" s="43" t="str">
        <f t="shared" si="1"/>
        <v/>
      </c>
      <c r="G394" s="32"/>
      <c r="H394" s="32"/>
      <c r="I394" s="32"/>
      <c r="J394" s="32"/>
    </row>
    <row r="395">
      <c r="A395" s="31"/>
      <c r="B395" s="32"/>
      <c r="C395" s="35" t="str">
        <f t="array" ref="C395">IF(INDEX(B:B,ROW())="","",VLOOKUP(INDEX(B:B,ROW()),'Produtos Bazar'!$A$8:$K$107,2,FALSE))</f>
        <v/>
      </c>
      <c r="D395" s="37"/>
      <c r="E395" s="43" t="str">
        <f t="array" ref="E395">IF(INDEX(B:B,ROW())="","",VLOOKUP(INDEX(B:B,ROW()),'Produtos Bazar'!$A$8:$K$107,11,FALSE))</f>
        <v/>
      </c>
      <c r="F395" s="43" t="str">
        <f t="shared" si="1"/>
        <v/>
      </c>
      <c r="G395" s="32"/>
      <c r="H395" s="32"/>
      <c r="I395" s="32"/>
      <c r="J395" s="32"/>
    </row>
    <row r="396">
      <c r="A396" s="31"/>
      <c r="B396" s="32"/>
      <c r="C396" s="35" t="str">
        <f t="array" ref="C396">IF(INDEX(B:B,ROW())="","",VLOOKUP(INDEX(B:B,ROW()),'Produtos Bazar'!$A$8:$K$107,2,FALSE))</f>
        <v/>
      </c>
      <c r="D396" s="37"/>
      <c r="E396" s="43" t="str">
        <f t="array" ref="E396">IF(INDEX(B:B,ROW())="","",VLOOKUP(INDEX(B:B,ROW()),'Produtos Bazar'!$A$8:$K$107,11,FALSE))</f>
        <v/>
      </c>
      <c r="F396" s="43" t="str">
        <f t="shared" si="1"/>
        <v/>
      </c>
      <c r="G396" s="32"/>
      <c r="H396" s="32"/>
      <c r="I396" s="32"/>
      <c r="J396" s="32"/>
    </row>
    <row r="397">
      <c r="A397" s="31"/>
      <c r="B397" s="32"/>
      <c r="C397" s="35" t="str">
        <f t="array" ref="C397">IF(INDEX(B:B,ROW())="","",VLOOKUP(INDEX(B:B,ROW()),'Produtos Bazar'!$A$8:$K$107,2,FALSE))</f>
        <v/>
      </c>
      <c r="D397" s="37"/>
      <c r="E397" s="43" t="str">
        <f t="array" ref="E397">IF(INDEX(B:B,ROW())="","",VLOOKUP(INDEX(B:B,ROW()),'Produtos Bazar'!$A$8:$K$107,11,FALSE))</f>
        <v/>
      </c>
      <c r="F397" s="43" t="str">
        <f t="shared" si="1"/>
        <v/>
      </c>
      <c r="G397" s="32"/>
      <c r="H397" s="32"/>
      <c r="I397" s="32"/>
      <c r="J397" s="32"/>
    </row>
    <row r="398">
      <c r="A398" s="31"/>
      <c r="B398" s="32"/>
      <c r="C398" s="35" t="str">
        <f t="array" ref="C398">IF(INDEX(B:B,ROW())="","",VLOOKUP(INDEX(B:B,ROW()),'Produtos Bazar'!$A$8:$K$107,2,FALSE))</f>
        <v/>
      </c>
      <c r="D398" s="37"/>
      <c r="E398" s="43" t="str">
        <f t="array" ref="E398">IF(INDEX(B:B,ROW())="","",VLOOKUP(INDEX(B:B,ROW()),'Produtos Bazar'!$A$8:$K$107,11,FALSE))</f>
        <v/>
      </c>
      <c r="F398" s="43" t="str">
        <f t="shared" si="1"/>
        <v/>
      </c>
      <c r="G398" s="32"/>
      <c r="H398" s="32"/>
      <c r="I398" s="32"/>
      <c r="J398" s="32"/>
    </row>
    <row r="399">
      <c r="A399" s="31"/>
      <c r="B399" s="32"/>
      <c r="C399" s="35" t="str">
        <f t="array" ref="C399">IF(INDEX(B:B,ROW())="","",VLOOKUP(INDEX(B:B,ROW()),'Produtos Bazar'!$A$8:$K$107,2,FALSE))</f>
        <v/>
      </c>
      <c r="D399" s="37"/>
      <c r="E399" s="43" t="str">
        <f t="array" ref="E399">IF(INDEX(B:B,ROW())="","",VLOOKUP(INDEX(B:B,ROW()),'Produtos Bazar'!$A$8:$K$107,11,FALSE))</f>
        <v/>
      </c>
      <c r="F399" s="43" t="str">
        <f t="shared" si="1"/>
        <v/>
      </c>
      <c r="G399" s="32"/>
      <c r="H399" s="32"/>
      <c r="I399" s="32"/>
      <c r="J399" s="32"/>
    </row>
    <row r="400">
      <c r="A400" s="31"/>
      <c r="B400" s="32"/>
      <c r="C400" s="35" t="str">
        <f t="array" ref="C400">IF(INDEX(B:B,ROW())="","",VLOOKUP(INDEX(B:B,ROW()),'Produtos Bazar'!$A$8:$K$107,2,FALSE))</f>
        <v/>
      </c>
      <c r="D400" s="37"/>
      <c r="E400" s="43" t="str">
        <f t="array" ref="E400">IF(INDEX(B:B,ROW())="","",VLOOKUP(INDEX(B:B,ROW()),'Produtos Bazar'!$A$8:$K$107,11,FALSE))</f>
        <v/>
      </c>
      <c r="F400" s="43" t="str">
        <f t="shared" si="1"/>
        <v/>
      </c>
      <c r="G400" s="32"/>
      <c r="H400" s="32"/>
      <c r="I400" s="32"/>
      <c r="J400" s="32"/>
    </row>
    <row r="401">
      <c r="A401" s="31"/>
      <c r="B401" s="32"/>
      <c r="C401" s="35" t="str">
        <f t="array" ref="C401">IF(INDEX(B:B,ROW())="","",VLOOKUP(INDEX(B:B,ROW()),'Produtos Bazar'!$A$8:$K$107,2,FALSE))</f>
        <v/>
      </c>
      <c r="D401" s="37"/>
      <c r="E401" s="43" t="str">
        <f t="array" ref="E401">IF(INDEX(B:B,ROW())="","",VLOOKUP(INDEX(B:B,ROW()),'Produtos Bazar'!$A$8:$K$107,11,FALSE))</f>
        <v/>
      </c>
      <c r="F401" s="43" t="str">
        <f t="shared" si="1"/>
        <v/>
      </c>
      <c r="G401" s="32"/>
      <c r="H401" s="32"/>
      <c r="I401" s="32"/>
      <c r="J401" s="32"/>
    </row>
    <row r="402">
      <c r="A402" s="31"/>
      <c r="B402" s="32"/>
      <c r="C402" s="35" t="str">
        <f t="array" ref="C402">IF(INDEX(B:B,ROW())="","",VLOOKUP(INDEX(B:B,ROW()),'Produtos Bazar'!$A$8:$K$107,2,FALSE))</f>
        <v/>
      </c>
      <c r="D402" s="37"/>
      <c r="E402" s="43" t="str">
        <f t="array" ref="E402">IF(INDEX(B:B,ROW())="","",VLOOKUP(INDEX(B:B,ROW()),'Produtos Bazar'!$A$8:$K$107,11,FALSE))</f>
        <v/>
      </c>
      <c r="F402" s="43" t="str">
        <f t="shared" si="1"/>
        <v/>
      </c>
      <c r="G402" s="32"/>
      <c r="H402" s="32"/>
      <c r="I402" s="32"/>
      <c r="J402" s="32"/>
    </row>
    <row r="403">
      <c r="A403" s="31"/>
      <c r="B403" s="32"/>
      <c r="C403" s="35" t="str">
        <f t="array" ref="C403">IF(INDEX(B:B,ROW())="","",VLOOKUP(INDEX(B:B,ROW()),'Produtos Bazar'!$A$8:$K$107,2,FALSE))</f>
        <v/>
      </c>
      <c r="D403" s="37"/>
      <c r="E403" s="43" t="str">
        <f t="array" ref="E403">IF(INDEX(B:B,ROW())="","",VLOOKUP(INDEX(B:B,ROW()),'Produtos Bazar'!$A$8:$K$107,11,FALSE))</f>
        <v/>
      </c>
      <c r="F403" s="43" t="str">
        <f t="shared" si="1"/>
        <v/>
      </c>
      <c r="G403" s="32"/>
      <c r="H403" s="32"/>
      <c r="I403" s="32"/>
      <c r="J403" s="32"/>
    </row>
    <row r="404">
      <c r="A404" s="31"/>
      <c r="B404" s="32"/>
      <c r="C404" s="35" t="str">
        <f t="array" ref="C404">IF(INDEX(B:B,ROW())="","",VLOOKUP(INDEX(B:B,ROW()),'Produtos Bazar'!$A$8:$K$107,2,FALSE))</f>
        <v/>
      </c>
      <c r="D404" s="37"/>
      <c r="E404" s="43" t="str">
        <f t="array" ref="E404">IF(INDEX(B:B,ROW())="","",VLOOKUP(INDEX(B:B,ROW()),'Produtos Bazar'!$A$8:$K$107,11,FALSE))</f>
        <v/>
      </c>
      <c r="F404" s="43" t="str">
        <f t="shared" si="1"/>
        <v/>
      </c>
      <c r="G404" s="32"/>
      <c r="H404" s="32"/>
      <c r="I404" s="32"/>
      <c r="J404" s="32"/>
    </row>
    <row r="405">
      <c r="A405" s="31"/>
      <c r="B405" s="32"/>
      <c r="C405" s="35" t="str">
        <f t="array" ref="C405">IF(INDEX(B:B,ROW())="","",VLOOKUP(INDEX(B:B,ROW()),'Produtos Bazar'!$A$8:$K$107,2,FALSE))</f>
        <v/>
      </c>
      <c r="D405" s="37"/>
      <c r="E405" s="43" t="str">
        <f t="array" ref="E405">IF(INDEX(B:B,ROW())="","",VLOOKUP(INDEX(B:B,ROW()),'Produtos Bazar'!$A$8:$K$107,11,FALSE))</f>
        <v/>
      </c>
      <c r="F405" s="43" t="str">
        <f t="shared" si="1"/>
        <v/>
      </c>
      <c r="G405" s="32"/>
      <c r="H405" s="32"/>
      <c r="I405" s="32"/>
      <c r="J405" s="32"/>
    </row>
    <row r="406">
      <c r="A406" s="31"/>
      <c r="B406" s="32"/>
      <c r="C406" s="35" t="str">
        <f t="array" ref="C406">IF(INDEX(B:B,ROW())="","",VLOOKUP(INDEX(B:B,ROW()),'Produtos Bazar'!$A$8:$K$107,2,FALSE))</f>
        <v/>
      </c>
      <c r="D406" s="37"/>
      <c r="E406" s="43" t="str">
        <f t="array" ref="E406">IF(INDEX(B:B,ROW())="","",VLOOKUP(INDEX(B:B,ROW()),'Produtos Bazar'!$A$8:$K$107,11,FALSE))</f>
        <v/>
      </c>
      <c r="F406" s="43" t="str">
        <f t="shared" si="1"/>
        <v/>
      </c>
      <c r="G406" s="32"/>
      <c r="H406" s="32"/>
      <c r="I406" s="32"/>
      <c r="J406" s="32"/>
    </row>
    <row r="407">
      <c r="A407" s="31"/>
      <c r="B407" s="32"/>
      <c r="C407" s="35" t="str">
        <f t="array" ref="C407">IF(INDEX(B:B,ROW())="","",VLOOKUP(INDEX(B:B,ROW()),'Produtos Bazar'!$A$8:$K$107,2,FALSE))</f>
        <v/>
      </c>
      <c r="D407" s="37"/>
      <c r="E407" s="43" t="str">
        <f t="array" ref="E407">IF(INDEX(B:B,ROW())="","",VLOOKUP(INDEX(B:B,ROW()),'Produtos Bazar'!$A$8:$K$107,11,FALSE))</f>
        <v/>
      </c>
      <c r="F407" s="43" t="str">
        <f t="shared" si="1"/>
        <v/>
      </c>
      <c r="G407" s="32"/>
      <c r="H407" s="32"/>
      <c r="I407" s="32"/>
      <c r="J407" s="32"/>
    </row>
    <row r="408">
      <c r="A408" s="31"/>
      <c r="B408" s="32"/>
      <c r="C408" s="35" t="str">
        <f t="array" ref="C408">IF(INDEX(B:B,ROW())="","",VLOOKUP(INDEX(B:B,ROW()),'Produtos Bazar'!$A$8:$K$107,2,FALSE))</f>
        <v/>
      </c>
      <c r="D408" s="37"/>
      <c r="E408" s="43" t="str">
        <f t="array" ref="E408">IF(INDEX(B:B,ROW())="","",VLOOKUP(INDEX(B:B,ROW()),'Produtos Bazar'!$A$8:$K$107,11,FALSE))</f>
        <v/>
      </c>
      <c r="F408" s="43" t="str">
        <f t="shared" si="1"/>
        <v/>
      </c>
      <c r="G408" s="32"/>
      <c r="H408" s="32"/>
      <c r="I408" s="32"/>
      <c r="J408" s="32"/>
    </row>
    <row r="409">
      <c r="A409" s="31"/>
      <c r="B409" s="32"/>
      <c r="C409" s="35" t="str">
        <f t="array" ref="C409">IF(INDEX(B:B,ROW())="","",VLOOKUP(INDEX(B:B,ROW()),'Produtos Bazar'!$A$8:$K$107,2,FALSE))</f>
        <v/>
      </c>
      <c r="D409" s="37"/>
      <c r="E409" s="43" t="str">
        <f t="array" ref="E409">IF(INDEX(B:B,ROW())="","",VLOOKUP(INDEX(B:B,ROW()),'Produtos Bazar'!$A$8:$K$107,11,FALSE))</f>
        <v/>
      </c>
      <c r="F409" s="43" t="str">
        <f t="shared" si="1"/>
        <v/>
      </c>
      <c r="G409" s="32"/>
      <c r="H409" s="32"/>
      <c r="I409" s="32"/>
      <c r="J409" s="32"/>
    </row>
    <row r="410">
      <c r="A410" s="31"/>
      <c r="B410" s="32"/>
      <c r="C410" s="35" t="str">
        <f t="array" ref="C410">IF(INDEX(B:B,ROW())="","",VLOOKUP(INDEX(B:B,ROW()),'Produtos Bazar'!$A$8:$K$107,2,FALSE))</f>
        <v/>
      </c>
      <c r="D410" s="37"/>
      <c r="E410" s="43" t="str">
        <f t="array" ref="E410">IF(INDEX(B:B,ROW())="","",VLOOKUP(INDEX(B:B,ROW()),'Produtos Bazar'!$A$8:$K$107,11,FALSE))</f>
        <v/>
      </c>
      <c r="F410" s="43" t="str">
        <f t="shared" si="1"/>
        <v/>
      </c>
      <c r="G410" s="32"/>
      <c r="H410" s="32"/>
      <c r="I410" s="32"/>
      <c r="J410" s="32"/>
    </row>
    <row r="411">
      <c r="A411" s="31"/>
      <c r="B411" s="32"/>
      <c r="C411" s="35" t="str">
        <f t="array" ref="C411">IF(INDEX(B:B,ROW())="","",VLOOKUP(INDEX(B:B,ROW()),'Produtos Bazar'!$A$8:$K$107,2,FALSE))</f>
        <v/>
      </c>
      <c r="D411" s="37"/>
      <c r="E411" s="43" t="str">
        <f t="array" ref="E411">IF(INDEX(B:B,ROW())="","",VLOOKUP(INDEX(B:B,ROW()),'Produtos Bazar'!$A$8:$K$107,11,FALSE))</f>
        <v/>
      </c>
      <c r="F411" s="43" t="str">
        <f t="shared" si="1"/>
        <v/>
      </c>
      <c r="G411" s="32"/>
      <c r="H411" s="32"/>
      <c r="I411" s="32"/>
      <c r="J411" s="32"/>
    </row>
    <row r="412">
      <c r="A412" s="31"/>
      <c r="B412" s="32"/>
      <c r="C412" s="35" t="str">
        <f t="array" ref="C412">IF(INDEX(B:B,ROW())="","",VLOOKUP(INDEX(B:B,ROW()),'Produtos Bazar'!$A$8:$K$107,2,FALSE))</f>
        <v/>
      </c>
      <c r="D412" s="37"/>
      <c r="E412" s="43" t="str">
        <f t="array" ref="E412">IF(INDEX(B:B,ROW())="","",VLOOKUP(INDEX(B:B,ROW()),'Produtos Bazar'!$A$8:$K$107,11,FALSE))</f>
        <v/>
      </c>
      <c r="F412" s="43" t="str">
        <f t="shared" si="1"/>
        <v/>
      </c>
      <c r="G412" s="32"/>
      <c r="H412" s="32"/>
      <c r="I412" s="32"/>
      <c r="J412" s="32"/>
    </row>
    <row r="413">
      <c r="A413" s="31"/>
      <c r="B413" s="32"/>
      <c r="C413" s="35" t="str">
        <f t="array" ref="C413">IF(INDEX(B:B,ROW())="","",VLOOKUP(INDEX(B:B,ROW()),'Produtos Bazar'!$A$8:$K$107,2,FALSE))</f>
        <v/>
      </c>
      <c r="D413" s="37"/>
      <c r="E413" s="43" t="str">
        <f t="array" ref="E413">IF(INDEX(B:B,ROW())="","",VLOOKUP(INDEX(B:B,ROW()),'Produtos Bazar'!$A$8:$K$107,11,FALSE))</f>
        <v/>
      </c>
      <c r="F413" s="43" t="str">
        <f t="shared" si="1"/>
        <v/>
      </c>
      <c r="G413" s="32"/>
      <c r="H413" s="32"/>
      <c r="I413" s="32"/>
      <c r="J413" s="32"/>
    </row>
    <row r="414">
      <c r="A414" s="31"/>
      <c r="B414" s="32"/>
      <c r="C414" s="35" t="str">
        <f t="array" ref="C414">IF(INDEX(B:B,ROW())="","",VLOOKUP(INDEX(B:B,ROW()),'Produtos Bazar'!$A$8:$K$107,2,FALSE))</f>
        <v/>
      </c>
      <c r="D414" s="37"/>
      <c r="E414" s="43" t="str">
        <f t="array" ref="E414">IF(INDEX(B:B,ROW())="","",VLOOKUP(INDEX(B:B,ROW()),'Produtos Bazar'!$A$8:$K$107,11,FALSE))</f>
        <v/>
      </c>
      <c r="F414" s="43" t="str">
        <f t="shared" si="1"/>
        <v/>
      </c>
      <c r="G414" s="32"/>
      <c r="H414" s="32"/>
      <c r="I414" s="32"/>
      <c r="J414" s="32"/>
    </row>
    <row r="415">
      <c r="A415" s="31"/>
      <c r="B415" s="32"/>
      <c r="C415" s="35" t="str">
        <f t="array" ref="C415">IF(INDEX(B:B,ROW())="","",VLOOKUP(INDEX(B:B,ROW()),'Produtos Bazar'!$A$8:$K$107,2,FALSE))</f>
        <v/>
      </c>
      <c r="D415" s="37"/>
      <c r="E415" s="43" t="str">
        <f t="array" ref="E415">IF(INDEX(B:B,ROW())="","",VLOOKUP(INDEX(B:B,ROW()),'Produtos Bazar'!$A$8:$K$107,11,FALSE))</f>
        <v/>
      </c>
      <c r="F415" s="43" t="str">
        <f t="shared" si="1"/>
        <v/>
      </c>
      <c r="G415" s="32"/>
      <c r="H415" s="32"/>
      <c r="I415" s="32"/>
      <c r="J415" s="32"/>
    </row>
    <row r="416">
      <c r="A416" s="31"/>
      <c r="B416" s="32"/>
      <c r="C416" s="35" t="str">
        <f t="array" ref="C416">IF(INDEX(B:B,ROW())="","",VLOOKUP(INDEX(B:B,ROW()),'Produtos Bazar'!$A$8:$K$107,2,FALSE))</f>
        <v/>
      </c>
      <c r="D416" s="37"/>
      <c r="E416" s="43" t="str">
        <f t="array" ref="E416">IF(INDEX(B:B,ROW())="","",VLOOKUP(INDEX(B:B,ROW()),'Produtos Bazar'!$A$8:$K$107,11,FALSE))</f>
        <v/>
      </c>
      <c r="F416" s="43" t="str">
        <f t="shared" si="1"/>
        <v/>
      </c>
      <c r="G416" s="32"/>
      <c r="H416" s="32"/>
      <c r="I416" s="32"/>
      <c r="J416" s="32"/>
    </row>
    <row r="417">
      <c r="A417" s="31"/>
      <c r="B417" s="32"/>
      <c r="C417" s="35" t="str">
        <f t="array" ref="C417">IF(INDEX(B:B,ROW())="","",VLOOKUP(INDEX(B:B,ROW()),'Produtos Bazar'!$A$8:$K$107,2,FALSE))</f>
        <v/>
      </c>
      <c r="D417" s="37"/>
      <c r="E417" s="43" t="str">
        <f t="array" ref="E417">IF(INDEX(B:B,ROW())="","",VLOOKUP(INDEX(B:B,ROW()),'Produtos Bazar'!$A$8:$K$107,11,FALSE))</f>
        <v/>
      </c>
      <c r="F417" s="43" t="str">
        <f t="shared" si="1"/>
        <v/>
      </c>
      <c r="G417" s="32"/>
      <c r="H417" s="32"/>
      <c r="I417" s="32"/>
      <c r="J417" s="32"/>
    </row>
    <row r="418">
      <c r="A418" s="31"/>
      <c r="B418" s="32"/>
      <c r="C418" s="35" t="str">
        <f t="array" ref="C418">IF(INDEX(B:B,ROW())="","",VLOOKUP(INDEX(B:B,ROW()),'Produtos Bazar'!$A$8:$K$107,2,FALSE))</f>
        <v/>
      </c>
      <c r="D418" s="37"/>
      <c r="E418" s="43" t="str">
        <f t="array" ref="E418">IF(INDEX(B:B,ROW())="","",VLOOKUP(INDEX(B:B,ROW()),'Produtos Bazar'!$A$8:$K$107,11,FALSE))</f>
        <v/>
      </c>
      <c r="F418" s="43" t="str">
        <f t="shared" si="1"/>
        <v/>
      </c>
      <c r="G418" s="32"/>
      <c r="H418" s="32"/>
      <c r="I418" s="32"/>
      <c r="J418" s="32"/>
    </row>
    <row r="419">
      <c r="A419" s="31"/>
      <c r="B419" s="32"/>
      <c r="C419" s="35" t="str">
        <f t="array" ref="C419">IF(INDEX(B:B,ROW())="","",VLOOKUP(INDEX(B:B,ROW()),'Produtos Bazar'!$A$8:$K$107,2,FALSE))</f>
        <v/>
      </c>
      <c r="D419" s="37"/>
      <c r="E419" s="43" t="str">
        <f t="array" ref="E419">IF(INDEX(B:B,ROW())="","",VLOOKUP(INDEX(B:B,ROW()),'Produtos Bazar'!$A$8:$K$107,11,FALSE))</f>
        <v/>
      </c>
      <c r="F419" s="43" t="str">
        <f t="shared" si="1"/>
        <v/>
      </c>
      <c r="G419" s="32"/>
      <c r="H419" s="32"/>
      <c r="I419" s="32"/>
      <c r="J419" s="32"/>
    </row>
    <row r="420">
      <c r="A420" s="31"/>
      <c r="B420" s="32"/>
      <c r="C420" s="35" t="str">
        <f t="array" ref="C420">IF(INDEX(B:B,ROW())="","",VLOOKUP(INDEX(B:B,ROW()),'Produtos Bazar'!$A$8:$K$107,2,FALSE))</f>
        <v/>
      </c>
      <c r="D420" s="37"/>
      <c r="E420" s="43" t="str">
        <f t="array" ref="E420">IF(INDEX(B:B,ROW())="","",VLOOKUP(INDEX(B:B,ROW()),'Produtos Bazar'!$A$8:$K$107,11,FALSE))</f>
        <v/>
      </c>
      <c r="F420" s="43" t="str">
        <f t="shared" si="1"/>
        <v/>
      </c>
      <c r="G420" s="32"/>
      <c r="H420" s="32"/>
      <c r="I420" s="32"/>
      <c r="J420" s="32"/>
    </row>
    <row r="421">
      <c r="A421" s="31"/>
      <c r="B421" s="32"/>
      <c r="C421" s="35" t="str">
        <f t="array" ref="C421">IF(INDEX(B:B,ROW())="","",VLOOKUP(INDEX(B:B,ROW()),'Produtos Bazar'!$A$8:$K$107,2,FALSE))</f>
        <v/>
      </c>
      <c r="D421" s="37"/>
      <c r="E421" s="43" t="str">
        <f t="array" ref="E421">IF(INDEX(B:B,ROW())="","",VLOOKUP(INDEX(B:B,ROW()),'Produtos Bazar'!$A$8:$K$107,11,FALSE))</f>
        <v/>
      </c>
      <c r="F421" s="43" t="str">
        <f t="shared" si="1"/>
        <v/>
      </c>
      <c r="G421" s="32"/>
      <c r="H421" s="32"/>
      <c r="I421" s="32"/>
      <c r="J421" s="32"/>
    </row>
    <row r="422">
      <c r="A422" s="31"/>
      <c r="B422" s="32"/>
      <c r="C422" s="35" t="str">
        <f t="array" ref="C422">IF(INDEX(B:B,ROW())="","",VLOOKUP(INDEX(B:B,ROW()),'Produtos Bazar'!$A$8:$K$107,2,FALSE))</f>
        <v/>
      </c>
      <c r="D422" s="37"/>
      <c r="E422" s="43" t="str">
        <f t="array" ref="E422">IF(INDEX(B:B,ROW())="","",VLOOKUP(INDEX(B:B,ROW()),'Produtos Bazar'!$A$8:$K$107,11,FALSE))</f>
        <v/>
      </c>
      <c r="F422" s="43" t="str">
        <f t="shared" si="1"/>
        <v/>
      </c>
      <c r="G422" s="32"/>
      <c r="H422" s="32"/>
      <c r="I422" s="32"/>
      <c r="J422" s="32"/>
    </row>
    <row r="423">
      <c r="A423" s="31"/>
      <c r="B423" s="32"/>
      <c r="C423" s="35" t="str">
        <f t="array" ref="C423">IF(INDEX(B:B,ROW())="","",VLOOKUP(INDEX(B:B,ROW()),'Produtos Bazar'!$A$8:$K$107,2,FALSE))</f>
        <v/>
      </c>
      <c r="D423" s="37"/>
      <c r="E423" s="43" t="str">
        <f t="array" ref="E423">IF(INDEX(B:B,ROW())="","",VLOOKUP(INDEX(B:B,ROW()),'Produtos Bazar'!$A$8:$K$107,11,FALSE))</f>
        <v/>
      </c>
      <c r="F423" s="43" t="str">
        <f t="shared" si="1"/>
        <v/>
      </c>
      <c r="G423" s="32"/>
      <c r="H423" s="32"/>
      <c r="I423" s="32"/>
      <c r="J423" s="32"/>
    </row>
    <row r="424">
      <c r="A424" s="31"/>
      <c r="B424" s="32"/>
      <c r="C424" s="35" t="str">
        <f t="array" ref="C424">IF(INDEX(B:B,ROW())="","",VLOOKUP(INDEX(B:B,ROW()),'Produtos Bazar'!$A$8:$K$107,2,FALSE))</f>
        <v/>
      </c>
      <c r="D424" s="37"/>
      <c r="E424" s="43" t="str">
        <f t="array" ref="E424">IF(INDEX(B:B,ROW())="","",VLOOKUP(INDEX(B:B,ROW()),'Produtos Bazar'!$A$8:$K$107,11,FALSE))</f>
        <v/>
      </c>
      <c r="F424" s="43" t="str">
        <f t="shared" si="1"/>
        <v/>
      </c>
      <c r="G424" s="32"/>
      <c r="H424" s="32"/>
      <c r="I424" s="32"/>
      <c r="J424" s="32"/>
    </row>
    <row r="425">
      <c r="A425" s="31"/>
      <c r="B425" s="32"/>
      <c r="C425" s="35" t="str">
        <f t="array" ref="C425">IF(INDEX(B:B,ROW())="","",VLOOKUP(INDEX(B:B,ROW()),'Produtos Bazar'!$A$8:$K$107,2,FALSE))</f>
        <v/>
      </c>
      <c r="D425" s="37"/>
      <c r="E425" s="43" t="str">
        <f t="array" ref="E425">IF(INDEX(B:B,ROW())="","",VLOOKUP(INDEX(B:B,ROW()),'Produtos Bazar'!$A$8:$K$107,11,FALSE))</f>
        <v/>
      </c>
      <c r="F425" s="43" t="str">
        <f t="shared" si="1"/>
        <v/>
      </c>
      <c r="G425" s="32"/>
      <c r="H425" s="32"/>
      <c r="I425" s="32"/>
      <c r="J425" s="32"/>
    </row>
    <row r="426">
      <c r="A426" s="31"/>
      <c r="B426" s="32"/>
      <c r="C426" s="35" t="str">
        <f t="array" ref="C426">IF(INDEX(B:B,ROW())="","",VLOOKUP(INDEX(B:B,ROW()),'Produtos Bazar'!$A$8:$K$107,2,FALSE))</f>
        <v/>
      </c>
      <c r="D426" s="37"/>
      <c r="E426" s="43" t="str">
        <f t="array" ref="E426">IF(INDEX(B:B,ROW())="","",VLOOKUP(INDEX(B:B,ROW()),'Produtos Bazar'!$A$8:$K$107,11,FALSE))</f>
        <v/>
      </c>
      <c r="F426" s="43" t="str">
        <f t="shared" si="1"/>
        <v/>
      </c>
      <c r="G426" s="32"/>
      <c r="H426" s="32"/>
      <c r="I426" s="32"/>
      <c r="J426" s="32"/>
    </row>
    <row r="427">
      <c r="A427" s="31"/>
      <c r="B427" s="32"/>
      <c r="C427" s="35" t="str">
        <f t="array" ref="C427">IF(INDEX(B:B,ROW())="","",VLOOKUP(INDEX(B:B,ROW()),'Produtos Bazar'!$A$8:$K$107,2,FALSE))</f>
        <v/>
      </c>
      <c r="D427" s="37"/>
      <c r="E427" s="43" t="str">
        <f t="array" ref="E427">IF(INDEX(B:B,ROW())="","",VLOOKUP(INDEX(B:B,ROW()),'Produtos Bazar'!$A$8:$K$107,11,FALSE))</f>
        <v/>
      </c>
      <c r="F427" s="43" t="str">
        <f t="shared" si="1"/>
        <v/>
      </c>
      <c r="G427" s="32"/>
      <c r="H427" s="32"/>
      <c r="I427" s="32"/>
      <c r="J427" s="32"/>
    </row>
    <row r="428">
      <c r="A428" s="31"/>
      <c r="B428" s="32"/>
      <c r="C428" s="35" t="str">
        <f t="array" ref="C428">IF(INDEX(B:B,ROW())="","",VLOOKUP(INDEX(B:B,ROW()),'Produtos Bazar'!$A$8:$K$107,2,FALSE))</f>
        <v/>
      </c>
      <c r="D428" s="37"/>
      <c r="E428" s="43" t="str">
        <f t="array" ref="E428">IF(INDEX(B:B,ROW())="","",VLOOKUP(INDEX(B:B,ROW()),'Produtos Bazar'!$A$8:$K$107,11,FALSE))</f>
        <v/>
      </c>
      <c r="F428" s="43" t="str">
        <f t="shared" si="1"/>
        <v/>
      </c>
      <c r="G428" s="32"/>
      <c r="H428" s="32"/>
      <c r="I428" s="32"/>
      <c r="J428" s="32"/>
    </row>
    <row r="429">
      <c r="A429" s="31"/>
      <c r="B429" s="32"/>
      <c r="C429" s="35" t="str">
        <f t="array" ref="C429">IF(INDEX(B:B,ROW())="","",VLOOKUP(INDEX(B:B,ROW()),'Produtos Bazar'!$A$8:$K$107,2,FALSE))</f>
        <v/>
      </c>
      <c r="D429" s="37"/>
      <c r="E429" s="43" t="str">
        <f t="array" ref="E429">IF(INDEX(B:B,ROW())="","",VLOOKUP(INDEX(B:B,ROW()),'Produtos Bazar'!$A$8:$K$107,11,FALSE))</f>
        <v/>
      </c>
      <c r="F429" s="43" t="str">
        <f t="shared" si="1"/>
        <v/>
      </c>
      <c r="G429" s="32"/>
      <c r="H429" s="32"/>
      <c r="I429" s="32"/>
      <c r="J429" s="32"/>
    </row>
    <row r="430">
      <c r="A430" s="31"/>
      <c r="B430" s="32"/>
      <c r="C430" s="35" t="str">
        <f t="array" ref="C430">IF(INDEX(B:B,ROW())="","",VLOOKUP(INDEX(B:B,ROW()),'Produtos Bazar'!$A$8:$K$107,2,FALSE))</f>
        <v/>
      </c>
      <c r="D430" s="37"/>
      <c r="E430" s="43" t="str">
        <f t="array" ref="E430">IF(INDEX(B:B,ROW())="","",VLOOKUP(INDEX(B:B,ROW()),'Produtos Bazar'!$A$8:$K$107,11,FALSE))</f>
        <v/>
      </c>
      <c r="F430" s="43" t="str">
        <f t="shared" si="1"/>
        <v/>
      </c>
      <c r="G430" s="32"/>
      <c r="H430" s="32"/>
      <c r="I430" s="32"/>
      <c r="J430" s="32"/>
    </row>
    <row r="431">
      <c r="A431" s="31"/>
      <c r="B431" s="32"/>
      <c r="C431" s="35" t="str">
        <f t="array" ref="C431">IF(INDEX(B:B,ROW())="","",VLOOKUP(INDEX(B:B,ROW()),'Produtos Bazar'!$A$8:$K$107,2,FALSE))</f>
        <v/>
      </c>
      <c r="D431" s="37"/>
      <c r="E431" s="43" t="str">
        <f t="array" ref="E431">IF(INDEX(B:B,ROW())="","",VLOOKUP(INDEX(B:B,ROW()),'Produtos Bazar'!$A$8:$K$107,11,FALSE))</f>
        <v/>
      </c>
      <c r="F431" s="43" t="str">
        <f t="shared" si="1"/>
        <v/>
      </c>
      <c r="G431" s="32"/>
      <c r="H431" s="32"/>
      <c r="I431" s="32"/>
      <c r="J431" s="32"/>
    </row>
    <row r="432">
      <c r="A432" s="31"/>
      <c r="B432" s="32"/>
      <c r="C432" s="35" t="str">
        <f t="array" ref="C432">IF(INDEX(B:B,ROW())="","",VLOOKUP(INDEX(B:B,ROW()),'Produtos Bazar'!$A$8:$K$107,2,FALSE))</f>
        <v/>
      </c>
      <c r="D432" s="37"/>
      <c r="E432" s="43" t="str">
        <f t="array" ref="E432">IF(INDEX(B:B,ROW())="","",VLOOKUP(INDEX(B:B,ROW()),'Produtos Bazar'!$A$8:$K$107,11,FALSE))</f>
        <v/>
      </c>
      <c r="F432" s="43" t="str">
        <f t="shared" si="1"/>
        <v/>
      </c>
      <c r="G432" s="32"/>
      <c r="H432" s="32"/>
      <c r="I432" s="32"/>
      <c r="J432" s="32"/>
    </row>
    <row r="433">
      <c r="A433" s="31"/>
      <c r="B433" s="32"/>
      <c r="C433" s="35" t="str">
        <f t="array" ref="C433">IF(INDEX(B:B,ROW())="","",VLOOKUP(INDEX(B:B,ROW()),'Produtos Bazar'!$A$8:$K$107,2,FALSE))</f>
        <v/>
      </c>
      <c r="D433" s="37"/>
      <c r="E433" s="43" t="str">
        <f t="array" ref="E433">IF(INDEX(B:B,ROW())="","",VLOOKUP(INDEX(B:B,ROW()),'Produtos Bazar'!$A$8:$K$107,11,FALSE))</f>
        <v/>
      </c>
      <c r="F433" s="43" t="str">
        <f t="shared" si="1"/>
        <v/>
      </c>
      <c r="G433" s="32"/>
      <c r="H433" s="32"/>
      <c r="I433" s="32"/>
      <c r="J433" s="32"/>
    </row>
    <row r="434">
      <c r="A434" s="31"/>
      <c r="B434" s="32"/>
      <c r="C434" s="35" t="str">
        <f t="array" ref="C434">IF(INDEX(B:B,ROW())="","",VLOOKUP(INDEX(B:B,ROW()),'Produtos Bazar'!$A$8:$K$107,2,FALSE))</f>
        <v/>
      </c>
      <c r="D434" s="37"/>
      <c r="E434" s="43" t="str">
        <f t="array" ref="E434">IF(INDEX(B:B,ROW())="","",VLOOKUP(INDEX(B:B,ROW()),'Produtos Bazar'!$A$8:$K$107,11,FALSE))</f>
        <v/>
      </c>
      <c r="F434" s="43" t="str">
        <f t="shared" si="1"/>
        <v/>
      </c>
      <c r="G434" s="32"/>
      <c r="H434" s="32"/>
      <c r="I434" s="32"/>
      <c r="J434" s="32"/>
    </row>
    <row r="435">
      <c r="A435" s="31"/>
      <c r="B435" s="32"/>
      <c r="C435" s="35" t="str">
        <f t="array" ref="C435">IF(INDEX(B:B,ROW())="","",VLOOKUP(INDEX(B:B,ROW()),'Produtos Bazar'!$A$8:$K$107,2,FALSE))</f>
        <v/>
      </c>
      <c r="D435" s="37"/>
      <c r="E435" s="43" t="str">
        <f t="array" ref="E435">IF(INDEX(B:B,ROW())="","",VLOOKUP(INDEX(B:B,ROW()),'Produtos Bazar'!$A$8:$K$107,11,FALSE))</f>
        <v/>
      </c>
      <c r="F435" s="43" t="str">
        <f t="shared" si="1"/>
        <v/>
      </c>
      <c r="G435" s="32"/>
      <c r="H435" s="32"/>
      <c r="I435" s="32"/>
      <c r="J435" s="32"/>
    </row>
    <row r="436">
      <c r="A436" s="31"/>
      <c r="B436" s="32"/>
      <c r="C436" s="35" t="str">
        <f t="array" ref="C436">IF(INDEX(B:B,ROW())="","",VLOOKUP(INDEX(B:B,ROW()),'Produtos Bazar'!$A$8:$K$107,2,FALSE))</f>
        <v/>
      </c>
      <c r="D436" s="37"/>
      <c r="E436" s="43" t="str">
        <f t="array" ref="E436">IF(INDEX(B:B,ROW())="","",VLOOKUP(INDEX(B:B,ROW()),'Produtos Bazar'!$A$8:$K$107,11,FALSE))</f>
        <v/>
      </c>
      <c r="F436" s="43" t="str">
        <f t="shared" si="1"/>
        <v/>
      </c>
      <c r="G436" s="32"/>
      <c r="H436" s="32"/>
      <c r="I436" s="32"/>
      <c r="J436" s="32"/>
    </row>
    <row r="437">
      <c r="A437" s="31"/>
      <c r="B437" s="32"/>
      <c r="C437" s="35" t="str">
        <f t="array" ref="C437">IF(INDEX(B:B,ROW())="","",VLOOKUP(INDEX(B:B,ROW()),'Produtos Bazar'!$A$8:$K$107,2,FALSE))</f>
        <v/>
      </c>
      <c r="D437" s="37"/>
      <c r="E437" s="43" t="str">
        <f t="array" ref="E437">IF(INDEX(B:B,ROW())="","",VLOOKUP(INDEX(B:B,ROW()),'Produtos Bazar'!$A$8:$K$107,11,FALSE))</f>
        <v/>
      </c>
      <c r="F437" s="43" t="str">
        <f t="shared" si="1"/>
        <v/>
      </c>
      <c r="G437" s="32"/>
      <c r="H437" s="32"/>
      <c r="I437" s="32"/>
      <c r="J437" s="32"/>
    </row>
    <row r="438">
      <c r="A438" s="31"/>
      <c r="B438" s="32"/>
      <c r="C438" s="35" t="str">
        <f t="array" ref="C438">IF(INDEX(B:B,ROW())="","",VLOOKUP(INDEX(B:B,ROW()),'Produtos Bazar'!$A$8:$K$107,2,FALSE))</f>
        <v/>
      </c>
      <c r="D438" s="37"/>
      <c r="E438" s="43" t="str">
        <f t="array" ref="E438">IF(INDEX(B:B,ROW())="","",VLOOKUP(INDEX(B:B,ROW()),'Produtos Bazar'!$A$8:$K$107,11,FALSE))</f>
        <v/>
      </c>
      <c r="F438" s="43" t="str">
        <f t="shared" si="1"/>
        <v/>
      </c>
      <c r="G438" s="32"/>
      <c r="H438" s="32"/>
      <c r="I438" s="32"/>
      <c r="J438" s="32"/>
    </row>
    <row r="439">
      <c r="A439" s="31"/>
      <c r="B439" s="32"/>
      <c r="C439" s="35" t="str">
        <f t="array" ref="C439">IF(INDEX(B:B,ROW())="","",VLOOKUP(INDEX(B:B,ROW()),'Produtos Bazar'!$A$8:$K$107,2,FALSE))</f>
        <v/>
      </c>
      <c r="D439" s="37"/>
      <c r="E439" s="43" t="str">
        <f t="array" ref="E439">IF(INDEX(B:B,ROW())="","",VLOOKUP(INDEX(B:B,ROW()),'Produtos Bazar'!$A$8:$K$107,11,FALSE))</f>
        <v/>
      </c>
      <c r="F439" s="43" t="str">
        <f t="shared" si="1"/>
        <v/>
      </c>
      <c r="G439" s="32"/>
      <c r="H439" s="32"/>
      <c r="I439" s="32"/>
      <c r="J439" s="32"/>
    </row>
    <row r="440">
      <c r="A440" s="31"/>
      <c r="B440" s="32"/>
      <c r="C440" s="35" t="str">
        <f t="array" ref="C440">IF(INDEX(B:B,ROW())="","",VLOOKUP(INDEX(B:B,ROW()),'Produtos Bazar'!$A$8:$K$107,2,FALSE))</f>
        <v/>
      </c>
      <c r="D440" s="37"/>
      <c r="E440" s="43" t="str">
        <f t="array" ref="E440">IF(INDEX(B:B,ROW())="","",VLOOKUP(INDEX(B:B,ROW()),'Produtos Bazar'!$A$8:$K$107,11,FALSE))</f>
        <v/>
      </c>
      <c r="F440" s="43" t="str">
        <f t="shared" si="1"/>
        <v/>
      </c>
      <c r="G440" s="32"/>
      <c r="H440" s="32"/>
      <c r="I440" s="32"/>
      <c r="J440" s="32"/>
    </row>
    <row r="441">
      <c r="A441" s="31"/>
      <c r="B441" s="32"/>
      <c r="C441" s="35" t="str">
        <f t="array" ref="C441">IF(INDEX(B:B,ROW())="","",VLOOKUP(INDEX(B:B,ROW()),'Produtos Bazar'!$A$8:$K$107,2,FALSE))</f>
        <v/>
      </c>
      <c r="D441" s="37"/>
      <c r="E441" s="43" t="str">
        <f t="array" ref="E441">IF(INDEX(B:B,ROW())="","",VLOOKUP(INDEX(B:B,ROW()),'Produtos Bazar'!$A$8:$K$107,11,FALSE))</f>
        <v/>
      </c>
      <c r="F441" s="43" t="str">
        <f t="shared" si="1"/>
        <v/>
      </c>
      <c r="G441" s="32"/>
      <c r="H441" s="32"/>
      <c r="I441" s="32"/>
      <c r="J441" s="32"/>
    </row>
    <row r="442">
      <c r="A442" s="31"/>
      <c r="B442" s="32"/>
      <c r="C442" s="35" t="str">
        <f t="array" ref="C442">IF(INDEX(B:B,ROW())="","",VLOOKUP(INDEX(B:B,ROW()),'Produtos Bazar'!$A$8:$K$107,2,FALSE))</f>
        <v/>
      </c>
      <c r="D442" s="37"/>
      <c r="E442" s="43" t="str">
        <f t="array" ref="E442">IF(INDEX(B:B,ROW())="","",VLOOKUP(INDEX(B:B,ROW()),'Produtos Bazar'!$A$8:$K$107,11,FALSE))</f>
        <v/>
      </c>
      <c r="F442" s="43" t="str">
        <f t="shared" si="1"/>
        <v/>
      </c>
      <c r="G442" s="32"/>
      <c r="H442" s="32"/>
      <c r="I442" s="32"/>
      <c r="J442" s="32"/>
    </row>
    <row r="443">
      <c r="A443" s="31"/>
      <c r="B443" s="32"/>
      <c r="C443" s="35" t="str">
        <f t="array" ref="C443">IF(INDEX(B:B,ROW())="","",VLOOKUP(INDEX(B:B,ROW()),'Produtos Bazar'!$A$8:$K$107,2,FALSE))</f>
        <v/>
      </c>
      <c r="D443" s="37"/>
      <c r="E443" s="43" t="str">
        <f t="array" ref="E443">IF(INDEX(B:B,ROW())="","",VLOOKUP(INDEX(B:B,ROW()),'Produtos Bazar'!$A$8:$K$107,11,FALSE))</f>
        <v/>
      </c>
      <c r="F443" s="43" t="str">
        <f t="shared" si="1"/>
        <v/>
      </c>
      <c r="G443" s="32"/>
      <c r="H443" s="32"/>
      <c r="I443" s="32"/>
      <c r="J443" s="32"/>
    </row>
    <row r="444">
      <c r="A444" s="31"/>
      <c r="B444" s="32"/>
      <c r="C444" s="35" t="str">
        <f t="array" ref="C444">IF(INDEX(B:B,ROW())="","",VLOOKUP(INDEX(B:B,ROW()),'Produtos Bazar'!$A$8:$K$107,2,FALSE))</f>
        <v/>
      </c>
      <c r="D444" s="37"/>
      <c r="E444" s="43" t="str">
        <f t="array" ref="E444">IF(INDEX(B:B,ROW())="","",VLOOKUP(INDEX(B:B,ROW()),'Produtos Bazar'!$A$8:$K$107,11,FALSE))</f>
        <v/>
      </c>
      <c r="F444" s="43" t="str">
        <f t="shared" si="1"/>
        <v/>
      </c>
      <c r="G444" s="32"/>
      <c r="H444" s="32"/>
      <c r="I444" s="32"/>
      <c r="J444" s="32"/>
    </row>
    <row r="445">
      <c r="A445" s="31"/>
      <c r="B445" s="32"/>
      <c r="C445" s="35" t="str">
        <f t="array" ref="C445">IF(INDEX(B:B,ROW())="","",VLOOKUP(INDEX(B:B,ROW()),'Produtos Bazar'!$A$8:$K$107,2,FALSE))</f>
        <v/>
      </c>
      <c r="D445" s="37"/>
      <c r="E445" s="43" t="str">
        <f t="array" ref="E445">IF(INDEX(B:B,ROW())="","",VLOOKUP(INDEX(B:B,ROW()),'Produtos Bazar'!$A$8:$K$107,11,FALSE))</f>
        <v/>
      </c>
      <c r="F445" s="43" t="str">
        <f t="shared" si="1"/>
        <v/>
      </c>
      <c r="G445" s="32"/>
      <c r="H445" s="32"/>
      <c r="I445" s="32"/>
      <c r="J445" s="32"/>
    </row>
    <row r="446">
      <c r="A446" s="31"/>
      <c r="B446" s="32"/>
      <c r="C446" s="35" t="str">
        <f t="array" ref="C446">IF(INDEX(B:B,ROW())="","",VLOOKUP(INDEX(B:B,ROW()),'Produtos Bazar'!$A$8:$K$107,2,FALSE))</f>
        <v/>
      </c>
      <c r="D446" s="37"/>
      <c r="E446" s="43" t="str">
        <f t="array" ref="E446">IF(INDEX(B:B,ROW())="","",VLOOKUP(INDEX(B:B,ROW()),'Produtos Bazar'!$A$8:$K$107,11,FALSE))</f>
        <v/>
      </c>
      <c r="F446" s="43" t="str">
        <f t="shared" si="1"/>
        <v/>
      </c>
      <c r="G446" s="32"/>
      <c r="H446" s="32"/>
      <c r="I446" s="32"/>
      <c r="J446" s="32"/>
    </row>
    <row r="447">
      <c r="A447" s="31"/>
      <c r="B447" s="32"/>
      <c r="C447" s="35" t="str">
        <f t="array" ref="C447">IF(INDEX(B:B,ROW())="","",VLOOKUP(INDEX(B:B,ROW()),'Produtos Bazar'!$A$8:$K$107,2,FALSE))</f>
        <v/>
      </c>
      <c r="D447" s="37"/>
      <c r="E447" s="43" t="str">
        <f t="array" ref="E447">IF(INDEX(B:B,ROW())="","",VLOOKUP(INDEX(B:B,ROW()),'Produtos Bazar'!$A$8:$K$107,11,FALSE))</f>
        <v/>
      </c>
      <c r="F447" s="43" t="str">
        <f t="shared" si="1"/>
        <v/>
      </c>
      <c r="G447" s="32"/>
      <c r="H447" s="32"/>
      <c r="I447" s="32"/>
      <c r="J447" s="32"/>
    </row>
    <row r="448">
      <c r="A448" s="31"/>
      <c r="B448" s="32"/>
      <c r="C448" s="35" t="str">
        <f t="array" ref="C448">IF(INDEX(B:B,ROW())="","",VLOOKUP(INDEX(B:B,ROW()),'Produtos Bazar'!$A$8:$K$107,2,FALSE))</f>
        <v/>
      </c>
      <c r="D448" s="37"/>
      <c r="E448" s="43" t="str">
        <f t="array" ref="E448">IF(INDEX(B:B,ROW())="","",VLOOKUP(INDEX(B:B,ROW()),'Produtos Bazar'!$A$8:$K$107,11,FALSE))</f>
        <v/>
      </c>
      <c r="F448" s="43" t="str">
        <f t="shared" si="1"/>
        <v/>
      </c>
      <c r="G448" s="32"/>
      <c r="H448" s="32"/>
      <c r="I448" s="32"/>
      <c r="J448" s="32"/>
    </row>
    <row r="449">
      <c r="A449" s="31"/>
      <c r="B449" s="32"/>
      <c r="C449" s="35" t="str">
        <f t="array" ref="C449">IF(INDEX(B:B,ROW())="","",VLOOKUP(INDEX(B:B,ROW()),'Produtos Bazar'!$A$8:$K$107,2,FALSE))</f>
        <v/>
      </c>
      <c r="D449" s="37"/>
      <c r="E449" s="43" t="str">
        <f t="array" ref="E449">IF(INDEX(B:B,ROW())="","",VLOOKUP(INDEX(B:B,ROW()),'Produtos Bazar'!$A$8:$K$107,11,FALSE))</f>
        <v/>
      </c>
      <c r="F449" s="43" t="str">
        <f t="shared" si="1"/>
        <v/>
      </c>
      <c r="G449" s="32"/>
      <c r="H449" s="32"/>
      <c r="I449" s="32"/>
      <c r="J449" s="32"/>
    </row>
    <row r="450">
      <c r="A450" s="31"/>
      <c r="B450" s="32"/>
      <c r="C450" s="35" t="str">
        <f t="array" ref="C450">IF(INDEX(B:B,ROW())="","",VLOOKUP(INDEX(B:B,ROW()),'Produtos Bazar'!$A$8:$K$107,2,FALSE))</f>
        <v/>
      </c>
      <c r="D450" s="37"/>
      <c r="E450" s="43" t="str">
        <f t="array" ref="E450">IF(INDEX(B:B,ROW())="","",VLOOKUP(INDEX(B:B,ROW()),'Produtos Bazar'!$A$8:$K$107,11,FALSE))</f>
        <v/>
      </c>
      <c r="F450" s="43" t="str">
        <f t="shared" si="1"/>
        <v/>
      </c>
      <c r="G450" s="32"/>
      <c r="H450" s="32"/>
      <c r="I450" s="32"/>
      <c r="J450" s="32"/>
    </row>
    <row r="451">
      <c r="A451" s="31"/>
      <c r="B451" s="32"/>
      <c r="C451" s="35" t="str">
        <f t="array" ref="C451">IF(INDEX(B:B,ROW())="","",VLOOKUP(INDEX(B:B,ROW()),'Produtos Bazar'!$A$8:$K$107,2,FALSE))</f>
        <v/>
      </c>
      <c r="D451" s="37"/>
      <c r="E451" s="43" t="str">
        <f t="array" ref="E451">IF(INDEX(B:B,ROW())="","",VLOOKUP(INDEX(B:B,ROW()),'Produtos Bazar'!$A$8:$K$107,11,FALSE))</f>
        <v/>
      </c>
      <c r="F451" s="43" t="str">
        <f t="shared" si="1"/>
        <v/>
      </c>
      <c r="G451" s="32"/>
      <c r="H451" s="32"/>
      <c r="I451" s="32"/>
      <c r="J451" s="32"/>
    </row>
    <row r="452">
      <c r="A452" s="31"/>
      <c r="B452" s="32"/>
      <c r="C452" s="35" t="str">
        <f t="array" ref="C452">IF(INDEX(B:B,ROW())="","",VLOOKUP(INDEX(B:B,ROW()),'Produtos Bazar'!$A$8:$K$107,2,FALSE))</f>
        <v/>
      </c>
      <c r="D452" s="37"/>
      <c r="E452" s="43" t="str">
        <f t="array" ref="E452">IF(INDEX(B:B,ROW())="","",VLOOKUP(INDEX(B:B,ROW()),'Produtos Bazar'!$A$8:$K$107,11,FALSE))</f>
        <v/>
      </c>
      <c r="F452" s="43" t="str">
        <f t="shared" si="1"/>
        <v/>
      </c>
      <c r="G452" s="32"/>
      <c r="H452" s="32"/>
      <c r="I452" s="32"/>
      <c r="J452" s="32"/>
    </row>
    <row r="453">
      <c r="A453" s="31"/>
      <c r="B453" s="32"/>
      <c r="C453" s="35" t="str">
        <f t="array" ref="C453">IF(INDEX(B:B,ROW())="","",VLOOKUP(INDEX(B:B,ROW()),'Produtos Bazar'!$A$8:$K$107,2,FALSE))</f>
        <v/>
      </c>
      <c r="D453" s="37"/>
      <c r="E453" s="43" t="str">
        <f t="array" ref="E453">IF(INDEX(B:B,ROW())="","",VLOOKUP(INDEX(B:B,ROW()),'Produtos Bazar'!$A$8:$K$107,11,FALSE))</f>
        <v/>
      </c>
      <c r="F453" s="43" t="str">
        <f t="shared" si="1"/>
        <v/>
      </c>
      <c r="G453" s="32"/>
      <c r="H453" s="32"/>
      <c r="I453" s="32"/>
      <c r="J453" s="32"/>
    </row>
    <row r="454">
      <c r="A454" s="31"/>
      <c r="B454" s="32"/>
      <c r="C454" s="35" t="str">
        <f t="array" ref="C454">IF(INDEX(B:B,ROW())="","",VLOOKUP(INDEX(B:B,ROW()),'Produtos Bazar'!$A$8:$K$107,2,FALSE))</f>
        <v/>
      </c>
      <c r="D454" s="37"/>
      <c r="E454" s="43" t="str">
        <f t="array" ref="E454">IF(INDEX(B:B,ROW())="","",VLOOKUP(INDEX(B:B,ROW()),'Produtos Bazar'!$A$8:$K$107,11,FALSE))</f>
        <v/>
      </c>
      <c r="F454" s="43" t="str">
        <f t="shared" si="1"/>
        <v/>
      </c>
      <c r="G454" s="32"/>
      <c r="H454" s="32"/>
      <c r="I454" s="32"/>
      <c r="J454" s="32"/>
    </row>
    <row r="455">
      <c r="A455" s="31"/>
      <c r="B455" s="32"/>
      <c r="C455" s="35" t="str">
        <f t="array" ref="C455">IF(INDEX(B:B,ROW())="","",VLOOKUP(INDEX(B:B,ROW()),'Produtos Bazar'!$A$8:$K$107,2,FALSE))</f>
        <v/>
      </c>
      <c r="D455" s="37"/>
      <c r="E455" s="43" t="str">
        <f t="array" ref="E455">IF(INDEX(B:B,ROW())="","",VLOOKUP(INDEX(B:B,ROW()),'Produtos Bazar'!$A$8:$K$107,11,FALSE))</f>
        <v/>
      </c>
      <c r="F455" s="43" t="str">
        <f t="shared" si="1"/>
        <v/>
      </c>
      <c r="G455" s="32"/>
      <c r="H455" s="32"/>
      <c r="I455" s="32"/>
      <c r="J455" s="32"/>
    </row>
    <row r="456">
      <c r="A456" s="31"/>
      <c r="B456" s="32"/>
      <c r="C456" s="35" t="str">
        <f t="array" ref="C456">IF(INDEX(B:B,ROW())="","",VLOOKUP(INDEX(B:B,ROW()),'Produtos Bazar'!$A$8:$K$107,2,FALSE))</f>
        <v/>
      </c>
      <c r="D456" s="37"/>
      <c r="E456" s="43" t="str">
        <f t="array" ref="E456">IF(INDEX(B:B,ROW())="","",VLOOKUP(INDEX(B:B,ROW()),'Produtos Bazar'!$A$8:$K$107,11,FALSE))</f>
        <v/>
      </c>
      <c r="F456" s="43" t="str">
        <f t="shared" si="1"/>
        <v/>
      </c>
      <c r="G456" s="32"/>
      <c r="H456" s="32"/>
      <c r="I456" s="32"/>
      <c r="J456" s="32"/>
    </row>
    <row r="457">
      <c r="A457" s="31"/>
      <c r="B457" s="32"/>
      <c r="C457" s="35" t="str">
        <f t="array" ref="C457">IF(INDEX(B:B,ROW())="","",VLOOKUP(INDEX(B:B,ROW()),'Produtos Bazar'!$A$8:$K$107,2,FALSE))</f>
        <v/>
      </c>
      <c r="D457" s="37"/>
      <c r="E457" s="43" t="str">
        <f t="array" ref="E457">IF(INDEX(B:B,ROW())="","",VLOOKUP(INDEX(B:B,ROW()),'Produtos Bazar'!$A$8:$K$107,11,FALSE))</f>
        <v/>
      </c>
      <c r="F457" s="43" t="str">
        <f t="shared" si="1"/>
        <v/>
      </c>
      <c r="G457" s="32"/>
      <c r="H457" s="32"/>
      <c r="I457" s="32"/>
      <c r="J457" s="32"/>
    </row>
    <row r="458">
      <c r="A458" s="31"/>
      <c r="B458" s="32"/>
      <c r="C458" s="35" t="str">
        <f t="array" ref="C458">IF(INDEX(B:B,ROW())="","",VLOOKUP(INDEX(B:B,ROW()),'Produtos Bazar'!$A$8:$K$107,2,FALSE))</f>
        <v/>
      </c>
      <c r="D458" s="37"/>
      <c r="E458" s="43" t="str">
        <f t="array" ref="E458">IF(INDEX(B:B,ROW())="","",VLOOKUP(INDEX(B:B,ROW()),'Produtos Bazar'!$A$8:$K$107,11,FALSE))</f>
        <v/>
      </c>
      <c r="F458" s="43" t="str">
        <f t="shared" si="1"/>
        <v/>
      </c>
      <c r="G458" s="32"/>
      <c r="H458" s="32"/>
      <c r="I458" s="32"/>
      <c r="J458" s="32"/>
    </row>
    <row r="459">
      <c r="A459" s="31"/>
      <c r="B459" s="32"/>
      <c r="C459" s="35" t="str">
        <f t="array" ref="C459">IF(INDEX(B:B,ROW())="","",VLOOKUP(INDEX(B:B,ROW()),'Produtos Bazar'!$A$8:$K$107,2,FALSE))</f>
        <v/>
      </c>
      <c r="D459" s="37"/>
      <c r="E459" s="43" t="str">
        <f t="array" ref="E459">IF(INDEX(B:B,ROW())="","",VLOOKUP(INDEX(B:B,ROW()),'Produtos Bazar'!$A$8:$K$107,11,FALSE))</f>
        <v/>
      </c>
      <c r="F459" s="43" t="str">
        <f t="shared" si="1"/>
        <v/>
      </c>
      <c r="G459" s="32"/>
      <c r="H459" s="32"/>
      <c r="I459" s="32"/>
      <c r="J459" s="32"/>
    </row>
    <row r="460">
      <c r="A460" s="31"/>
      <c r="B460" s="32"/>
      <c r="C460" s="35" t="str">
        <f t="array" ref="C460">IF(INDEX(B:B,ROW())="","",VLOOKUP(INDEX(B:B,ROW()),'Produtos Bazar'!$A$8:$K$107,2,FALSE))</f>
        <v/>
      </c>
      <c r="D460" s="37"/>
      <c r="E460" s="43" t="str">
        <f t="array" ref="E460">IF(INDEX(B:B,ROW())="","",VLOOKUP(INDEX(B:B,ROW()),'Produtos Bazar'!$A$8:$K$107,11,FALSE))</f>
        <v/>
      </c>
      <c r="F460" s="43" t="str">
        <f t="shared" si="1"/>
        <v/>
      </c>
      <c r="G460" s="32"/>
      <c r="H460" s="32"/>
      <c r="I460" s="32"/>
      <c r="J460" s="32"/>
    </row>
    <row r="461">
      <c r="A461" s="31"/>
      <c r="B461" s="32"/>
      <c r="C461" s="35" t="str">
        <f t="array" ref="C461">IF(INDEX(B:B,ROW())="","",VLOOKUP(INDEX(B:B,ROW()),'Produtos Bazar'!$A$8:$K$107,2,FALSE))</f>
        <v/>
      </c>
      <c r="D461" s="37"/>
      <c r="E461" s="43" t="str">
        <f t="array" ref="E461">IF(INDEX(B:B,ROW())="","",VLOOKUP(INDEX(B:B,ROW()),'Produtos Bazar'!$A$8:$K$107,11,FALSE))</f>
        <v/>
      </c>
      <c r="F461" s="43" t="str">
        <f t="shared" si="1"/>
        <v/>
      </c>
      <c r="G461" s="32"/>
      <c r="H461" s="32"/>
      <c r="I461" s="32"/>
      <c r="J461" s="32"/>
    </row>
    <row r="462">
      <c r="A462" s="31"/>
      <c r="B462" s="32"/>
      <c r="C462" s="35" t="str">
        <f t="array" ref="C462">IF(INDEX(B:B,ROW())="","",VLOOKUP(INDEX(B:B,ROW()),'Produtos Bazar'!$A$8:$K$107,2,FALSE))</f>
        <v/>
      </c>
      <c r="D462" s="37"/>
      <c r="E462" s="43" t="str">
        <f t="array" ref="E462">IF(INDEX(B:B,ROW())="","",VLOOKUP(INDEX(B:B,ROW()),'Produtos Bazar'!$A$8:$K$107,11,FALSE))</f>
        <v/>
      </c>
      <c r="F462" s="43" t="str">
        <f t="shared" si="1"/>
        <v/>
      </c>
      <c r="G462" s="32"/>
      <c r="H462" s="32"/>
      <c r="I462" s="32"/>
      <c r="J462" s="32"/>
    </row>
    <row r="463">
      <c r="A463" s="31"/>
      <c r="B463" s="32"/>
      <c r="C463" s="35" t="str">
        <f t="array" ref="C463">IF(INDEX(B:B,ROW())="","",VLOOKUP(INDEX(B:B,ROW()),'Produtos Bazar'!$A$8:$K$107,2,FALSE))</f>
        <v/>
      </c>
      <c r="D463" s="37"/>
      <c r="E463" s="43" t="str">
        <f t="array" ref="E463">IF(INDEX(B:B,ROW())="","",VLOOKUP(INDEX(B:B,ROW()),'Produtos Bazar'!$A$8:$K$107,11,FALSE))</f>
        <v/>
      </c>
      <c r="F463" s="43" t="str">
        <f t="shared" si="1"/>
        <v/>
      </c>
      <c r="G463" s="32"/>
      <c r="H463" s="32"/>
      <c r="I463" s="32"/>
      <c r="J463" s="32"/>
    </row>
    <row r="464">
      <c r="A464" s="31"/>
      <c r="B464" s="32"/>
      <c r="C464" s="35" t="str">
        <f t="array" ref="C464">IF(INDEX(B:B,ROW())="","",VLOOKUP(INDEX(B:B,ROW()),'Produtos Bazar'!$A$8:$K$107,2,FALSE))</f>
        <v/>
      </c>
      <c r="D464" s="37"/>
      <c r="E464" s="43" t="str">
        <f t="array" ref="E464">IF(INDEX(B:B,ROW())="","",VLOOKUP(INDEX(B:B,ROW()),'Produtos Bazar'!$A$8:$K$107,11,FALSE))</f>
        <v/>
      </c>
      <c r="F464" s="43" t="str">
        <f t="shared" si="1"/>
        <v/>
      </c>
      <c r="G464" s="32"/>
      <c r="H464" s="32"/>
      <c r="I464" s="32"/>
      <c r="J464" s="32"/>
    </row>
    <row r="465">
      <c r="A465" s="31"/>
      <c r="B465" s="32"/>
      <c r="C465" s="35" t="str">
        <f t="array" ref="C465">IF(INDEX(B:B,ROW())="","",VLOOKUP(INDEX(B:B,ROW()),'Produtos Bazar'!$A$8:$K$107,2,FALSE))</f>
        <v/>
      </c>
      <c r="D465" s="37"/>
      <c r="E465" s="43" t="str">
        <f t="array" ref="E465">IF(INDEX(B:B,ROW())="","",VLOOKUP(INDEX(B:B,ROW()),'Produtos Bazar'!$A$8:$K$107,11,FALSE))</f>
        <v/>
      </c>
      <c r="F465" s="43" t="str">
        <f t="shared" si="1"/>
        <v/>
      </c>
      <c r="G465" s="32"/>
      <c r="H465" s="32"/>
      <c r="I465" s="32"/>
      <c r="J465" s="32"/>
    </row>
    <row r="466">
      <c r="A466" s="31"/>
      <c r="B466" s="32"/>
      <c r="C466" s="35" t="str">
        <f t="array" ref="C466">IF(INDEX(B:B,ROW())="","",VLOOKUP(INDEX(B:B,ROW()),'Produtos Bazar'!$A$8:$K$107,2,FALSE))</f>
        <v/>
      </c>
      <c r="D466" s="37"/>
      <c r="E466" s="43" t="str">
        <f t="array" ref="E466">IF(INDEX(B:B,ROW())="","",VLOOKUP(INDEX(B:B,ROW()),'Produtos Bazar'!$A$8:$K$107,11,FALSE))</f>
        <v/>
      </c>
      <c r="F466" s="43" t="str">
        <f t="shared" si="1"/>
        <v/>
      </c>
      <c r="G466" s="32"/>
      <c r="H466" s="32"/>
      <c r="I466" s="32"/>
      <c r="J466" s="32"/>
    </row>
    <row r="467">
      <c r="A467" s="31"/>
      <c r="B467" s="32"/>
      <c r="C467" s="35" t="str">
        <f t="array" ref="C467">IF(INDEX(B:B,ROW())="","",VLOOKUP(INDEX(B:B,ROW()),'Produtos Bazar'!$A$8:$K$107,2,FALSE))</f>
        <v/>
      </c>
      <c r="D467" s="37"/>
      <c r="E467" s="43" t="str">
        <f t="array" ref="E467">IF(INDEX(B:B,ROW())="","",VLOOKUP(INDEX(B:B,ROW()),'Produtos Bazar'!$A$8:$K$107,11,FALSE))</f>
        <v/>
      </c>
      <c r="F467" s="43" t="str">
        <f t="shared" si="1"/>
        <v/>
      </c>
      <c r="G467" s="32"/>
      <c r="H467" s="32"/>
      <c r="I467" s="32"/>
      <c r="J467" s="32"/>
    </row>
    <row r="468">
      <c r="A468" s="31"/>
      <c r="B468" s="32"/>
      <c r="C468" s="35" t="str">
        <f t="array" ref="C468">IF(INDEX(B:B,ROW())="","",VLOOKUP(INDEX(B:B,ROW()),'Produtos Bazar'!$A$8:$K$107,2,FALSE))</f>
        <v/>
      </c>
      <c r="D468" s="37"/>
      <c r="E468" s="43" t="str">
        <f t="array" ref="E468">IF(INDEX(B:B,ROW())="","",VLOOKUP(INDEX(B:B,ROW()),'Produtos Bazar'!$A$8:$K$107,11,FALSE))</f>
        <v/>
      </c>
      <c r="F468" s="43" t="str">
        <f t="shared" si="1"/>
        <v/>
      </c>
      <c r="G468" s="32"/>
      <c r="H468" s="32"/>
      <c r="I468" s="32"/>
      <c r="J468" s="32"/>
    </row>
    <row r="469">
      <c r="A469" s="31"/>
      <c r="B469" s="32"/>
      <c r="C469" s="35" t="str">
        <f t="array" ref="C469">IF(INDEX(B:B,ROW())="","",VLOOKUP(INDEX(B:B,ROW()),'Produtos Bazar'!$A$8:$K$107,2,FALSE))</f>
        <v/>
      </c>
      <c r="D469" s="37"/>
      <c r="E469" s="43" t="str">
        <f t="array" ref="E469">IF(INDEX(B:B,ROW())="","",VLOOKUP(INDEX(B:B,ROW()),'Produtos Bazar'!$A$8:$K$107,11,FALSE))</f>
        <v/>
      </c>
      <c r="F469" s="43" t="str">
        <f t="shared" si="1"/>
        <v/>
      </c>
      <c r="G469" s="32"/>
      <c r="H469" s="32"/>
      <c r="I469" s="32"/>
      <c r="J469" s="32"/>
    </row>
    <row r="470">
      <c r="A470" s="31"/>
      <c r="B470" s="32"/>
      <c r="C470" s="35" t="str">
        <f t="array" ref="C470">IF(INDEX(B:B,ROW())="","",VLOOKUP(INDEX(B:B,ROW()),'Produtos Bazar'!$A$8:$K$107,2,FALSE))</f>
        <v/>
      </c>
      <c r="D470" s="37"/>
      <c r="E470" s="43" t="str">
        <f t="array" ref="E470">IF(INDEX(B:B,ROW())="","",VLOOKUP(INDEX(B:B,ROW()),'Produtos Bazar'!$A$8:$K$107,11,FALSE))</f>
        <v/>
      </c>
      <c r="F470" s="43" t="str">
        <f t="shared" si="1"/>
        <v/>
      </c>
      <c r="G470" s="32"/>
      <c r="H470" s="32"/>
      <c r="I470" s="32"/>
      <c r="J470" s="32"/>
    </row>
    <row r="471">
      <c r="A471" s="31"/>
      <c r="B471" s="32"/>
      <c r="C471" s="35" t="str">
        <f t="array" ref="C471">IF(INDEX(B:B,ROW())="","",VLOOKUP(INDEX(B:B,ROW()),'Produtos Bazar'!$A$8:$K$107,2,FALSE))</f>
        <v/>
      </c>
      <c r="D471" s="37"/>
      <c r="E471" s="43" t="str">
        <f t="array" ref="E471">IF(INDEX(B:B,ROW())="","",VLOOKUP(INDEX(B:B,ROW()),'Produtos Bazar'!$A$8:$K$107,11,FALSE))</f>
        <v/>
      </c>
      <c r="F471" s="43" t="str">
        <f t="shared" si="1"/>
        <v/>
      </c>
      <c r="G471" s="32"/>
      <c r="H471" s="32"/>
      <c r="I471" s="32"/>
      <c r="J471" s="32"/>
    </row>
    <row r="472">
      <c r="A472" s="31"/>
      <c r="B472" s="32"/>
      <c r="C472" s="35" t="str">
        <f t="array" ref="C472">IF(INDEX(B:B,ROW())="","",VLOOKUP(INDEX(B:B,ROW()),'Produtos Bazar'!$A$8:$K$107,2,FALSE))</f>
        <v/>
      </c>
      <c r="D472" s="37"/>
      <c r="E472" s="43" t="str">
        <f t="array" ref="E472">IF(INDEX(B:B,ROW())="","",VLOOKUP(INDEX(B:B,ROW()),'Produtos Bazar'!$A$8:$K$107,11,FALSE))</f>
        <v/>
      </c>
      <c r="F472" s="43" t="str">
        <f t="shared" si="1"/>
        <v/>
      </c>
      <c r="G472" s="32"/>
      <c r="H472" s="32"/>
      <c r="I472" s="32"/>
      <c r="J472" s="32"/>
    </row>
    <row r="473">
      <c r="A473" s="31"/>
      <c r="B473" s="32"/>
      <c r="C473" s="35" t="str">
        <f t="array" ref="C473">IF(INDEX(B:B,ROW())="","",VLOOKUP(INDEX(B:B,ROW()),'Produtos Bazar'!$A$8:$K$107,2,FALSE))</f>
        <v/>
      </c>
      <c r="D473" s="37"/>
      <c r="E473" s="43" t="str">
        <f t="array" ref="E473">IF(INDEX(B:B,ROW())="","",VLOOKUP(INDEX(B:B,ROW()),'Produtos Bazar'!$A$8:$K$107,11,FALSE))</f>
        <v/>
      </c>
      <c r="F473" s="43" t="str">
        <f t="shared" si="1"/>
        <v/>
      </c>
      <c r="G473" s="32"/>
      <c r="H473" s="32"/>
      <c r="I473" s="32"/>
      <c r="J473" s="32"/>
    </row>
    <row r="474">
      <c r="A474" s="31"/>
      <c r="B474" s="32"/>
      <c r="C474" s="35" t="str">
        <f t="array" ref="C474">IF(INDEX(B:B,ROW())="","",VLOOKUP(INDEX(B:B,ROW()),'Produtos Bazar'!$A$8:$K$107,2,FALSE))</f>
        <v/>
      </c>
      <c r="D474" s="37"/>
      <c r="E474" s="43" t="str">
        <f t="array" ref="E474">IF(INDEX(B:B,ROW())="","",VLOOKUP(INDEX(B:B,ROW()),'Produtos Bazar'!$A$8:$K$107,11,FALSE))</f>
        <v/>
      </c>
      <c r="F474" s="43" t="str">
        <f t="shared" si="1"/>
        <v/>
      </c>
      <c r="G474" s="32"/>
      <c r="H474" s="32"/>
      <c r="I474" s="32"/>
      <c r="J474" s="32"/>
    </row>
    <row r="475">
      <c r="A475" s="31"/>
      <c r="B475" s="32"/>
      <c r="C475" s="35" t="str">
        <f t="array" ref="C475">IF(INDEX(B:B,ROW())="","",VLOOKUP(INDEX(B:B,ROW()),'Produtos Bazar'!$A$8:$K$107,2,FALSE))</f>
        <v/>
      </c>
      <c r="D475" s="37"/>
      <c r="E475" s="43" t="str">
        <f t="array" ref="E475">IF(INDEX(B:B,ROW())="","",VLOOKUP(INDEX(B:B,ROW()),'Produtos Bazar'!$A$8:$K$107,11,FALSE))</f>
        <v/>
      </c>
      <c r="F475" s="43" t="str">
        <f t="shared" si="1"/>
        <v/>
      </c>
      <c r="G475" s="32"/>
      <c r="H475" s="32"/>
      <c r="I475" s="32"/>
      <c r="J475" s="32"/>
    </row>
    <row r="476">
      <c r="A476" s="31"/>
      <c r="B476" s="32"/>
      <c r="C476" s="35" t="str">
        <f t="array" ref="C476">IF(INDEX(B:B,ROW())="","",VLOOKUP(INDEX(B:B,ROW()),'Produtos Bazar'!$A$8:$K$107,2,FALSE))</f>
        <v/>
      </c>
      <c r="D476" s="37"/>
      <c r="E476" s="43" t="str">
        <f t="array" ref="E476">IF(INDEX(B:B,ROW())="","",VLOOKUP(INDEX(B:B,ROW()),'Produtos Bazar'!$A$8:$K$107,11,FALSE))</f>
        <v/>
      </c>
      <c r="F476" s="43" t="str">
        <f t="shared" si="1"/>
        <v/>
      </c>
      <c r="G476" s="32"/>
      <c r="H476" s="32"/>
      <c r="I476" s="32"/>
      <c r="J476" s="32"/>
    </row>
    <row r="477">
      <c r="A477" s="31"/>
      <c r="B477" s="32"/>
      <c r="C477" s="35" t="str">
        <f t="array" ref="C477">IF(INDEX(B:B,ROW())="","",VLOOKUP(INDEX(B:B,ROW()),'Produtos Bazar'!$A$8:$K$107,2,FALSE))</f>
        <v/>
      </c>
      <c r="D477" s="37"/>
      <c r="E477" s="43" t="str">
        <f t="array" ref="E477">IF(INDEX(B:B,ROW())="","",VLOOKUP(INDEX(B:B,ROW()),'Produtos Bazar'!$A$8:$K$107,11,FALSE))</f>
        <v/>
      </c>
      <c r="F477" s="43" t="str">
        <f t="shared" si="1"/>
        <v/>
      </c>
      <c r="G477" s="32"/>
      <c r="H477" s="32"/>
      <c r="I477" s="32"/>
      <c r="J477" s="32"/>
    </row>
    <row r="478">
      <c r="A478" s="31"/>
      <c r="B478" s="32"/>
      <c r="C478" s="35" t="str">
        <f t="array" ref="C478">IF(INDEX(B:B,ROW())="","",VLOOKUP(INDEX(B:B,ROW()),'Produtos Bazar'!$A$8:$K$107,2,FALSE))</f>
        <v/>
      </c>
      <c r="D478" s="37"/>
      <c r="E478" s="43" t="str">
        <f t="array" ref="E478">IF(INDEX(B:B,ROW())="","",VLOOKUP(INDEX(B:B,ROW()),'Produtos Bazar'!$A$8:$K$107,11,FALSE))</f>
        <v/>
      </c>
      <c r="F478" s="43" t="str">
        <f t="shared" si="1"/>
        <v/>
      </c>
      <c r="G478" s="32"/>
      <c r="H478" s="32"/>
      <c r="I478" s="32"/>
      <c r="J478" s="32"/>
    </row>
    <row r="479">
      <c r="A479" s="31"/>
      <c r="B479" s="32"/>
      <c r="C479" s="35" t="str">
        <f t="array" ref="C479">IF(INDEX(B:B,ROW())="","",VLOOKUP(INDEX(B:B,ROW()),'Produtos Bazar'!$A$8:$K$107,2,FALSE))</f>
        <v/>
      </c>
      <c r="D479" s="37"/>
      <c r="E479" s="43" t="str">
        <f t="array" ref="E479">IF(INDEX(B:B,ROW())="","",VLOOKUP(INDEX(B:B,ROW()),'Produtos Bazar'!$A$8:$K$107,11,FALSE))</f>
        <v/>
      </c>
      <c r="F479" s="43" t="str">
        <f t="shared" si="1"/>
        <v/>
      </c>
      <c r="G479" s="32"/>
      <c r="H479" s="32"/>
      <c r="I479" s="32"/>
      <c r="J479" s="32"/>
    </row>
    <row r="480">
      <c r="A480" s="31"/>
      <c r="B480" s="32"/>
      <c r="C480" s="35" t="str">
        <f t="array" ref="C480">IF(INDEX(B:B,ROW())="","",VLOOKUP(INDEX(B:B,ROW()),'Produtos Bazar'!$A$8:$K$107,2,FALSE))</f>
        <v/>
      </c>
      <c r="D480" s="37"/>
      <c r="E480" s="43" t="str">
        <f t="array" ref="E480">IF(INDEX(B:B,ROW())="","",VLOOKUP(INDEX(B:B,ROW()),'Produtos Bazar'!$A$8:$K$107,11,FALSE))</f>
        <v/>
      </c>
      <c r="F480" s="43" t="str">
        <f t="shared" si="1"/>
        <v/>
      </c>
      <c r="G480" s="32"/>
      <c r="H480" s="32"/>
      <c r="I480" s="32"/>
      <c r="J480" s="32"/>
    </row>
    <row r="481">
      <c r="A481" s="31"/>
      <c r="B481" s="32"/>
      <c r="C481" s="35" t="str">
        <f t="array" ref="C481">IF(INDEX(B:B,ROW())="","",VLOOKUP(INDEX(B:B,ROW()),'Produtos Bazar'!$A$8:$K$107,2,FALSE))</f>
        <v/>
      </c>
      <c r="D481" s="37"/>
      <c r="E481" s="43" t="str">
        <f t="array" ref="E481">IF(INDEX(B:B,ROW())="","",VLOOKUP(INDEX(B:B,ROW()),'Produtos Bazar'!$A$8:$K$107,11,FALSE))</f>
        <v/>
      </c>
      <c r="F481" s="43" t="str">
        <f t="shared" si="1"/>
        <v/>
      </c>
      <c r="G481" s="32"/>
      <c r="H481" s="32"/>
      <c r="I481" s="32"/>
      <c r="J481" s="32"/>
    </row>
    <row r="482">
      <c r="A482" s="31"/>
      <c r="B482" s="32"/>
      <c r="C482" s="35" t="str">
        <f t="array" ref="C482">IF(INDEX(B:B,ROW())="","",VLOOKUP(INDEX(B:B,ROW()),'Produtos Bazar'!$A$8:$K$107,2,FALSE))</f>
        <v/>
      </c>
      <c r="D482" s="37"/>
      <c r="E482" s="43" t="str">
        <f t="array" ref="E482">IF(INDEX(B:B,ROW())="","",VLOOKUP(INDEX(B:B,ROW()),'Produtos Bazar'!$A$8:$K$107,11,FALSE))</f>
        <v/>
      </c>
      <c r="F482" s="43" t="str">
        <f t="shared" si="1"/>
        <v/>
      </c>
      <c r="G482" s="32"/>
      <c r="H482" s="32"/>
      <c r="I482" s="32"/>
      <c r="J482" s="32"/>
    </row>
    <row r="483">
      <c r="A483" s="31"/>
      <c r="B483" s="32"/>
      <c r="C483" s="35" t="str">
        <f t="array" ref="C483">IF(INDEX(B:B,ROW())="","",VLOOKUP(INDEX(B:B,ROW()),'Produtos Bazar'!$A$8:$K$107,2,FALSE))</f>
        <v/>
      </c>
      <c r="D483" s="37"/>
      <c r="E483" s="43" t="str">
        <f t="array" ref="E483">IF(INDEX(B:B,ROW())="","",VLOOKUP(INDEX(B:B,ROW()),'Produtos Bazar'!$A$8:$K$107,11,FALSE))</f>
        <v/>
      </c>
      <c r="F483" s="43" t="str">
        <f t="shared" si="1"/>
        <v/>
      </c>
      <c r="G483" s="32"/>
      <c r="H483" s="32"/>
      <c r="I483" s="32"/>
      <c r="J483" s="32"/>
    </row>
    <row r="484">
      <c r="A484" s="31"/>
      <c r="B484" s="32"/>
      <c r="C484" s="35" t="str">
        <f t="array" ref="C484">IF(INDEX(B:B,ROW())="","",VLOOKUP(INDEX(B:B,ROW()),'Produtos Bazar'!$A$8:$K$107,2,FALSE))</f>
        <v/>
      </c>
      <c r="D484" s="37"/>
      <c r="E484" s="43" t="str">
        <f t="array" ref="E484">IF(INDEX(B:B,ROW())="","",VLOOKUP(INDEX(B:B,ROW()),'Produtos Bazar'!$A$8:$K$107,11,FALSE))</f>
        <v/>
      </c>
      <c r="F484" s="43" t="str">
        <f t="shared" si="1"/>
        <v/>
      </c>
      <c r="G484" s="32"/>
      <c r="H484" s="32"/>
      <c r="I484" s="32"/>
      <c r="J484" s="32"/>
    </row>
    <row r="485">
      <c r="A485" s="31"/>
      <c r="B485" s="32"/>
      <c r="C485" s="35" t="str">
        <f t="array" ref="C485">IF(INDEX(B:B,ROW())="","",VLOOKUP(INDEX(B:B,ROW()),'Produtos Bazar'!$A$8:$K$107,2,FALSE))</f>
        <v/>
      </c>
      <c r="D485" s="37"/>
      <c r="E485" s="43" t="str">
        <f t="array" ref="E485">IF(INDEX(B:B,ROW())="","",VLOOKUP(INDEX(B:B,ROW()),'Produtos Bazar'!$A$8:$K$107,11,FALSE))</f>
        <v/>
      </c>
      <c r="F485" s="43" t="str">
        <f t="shared" si="1"/>
        <v/>
      </c>
      <c r="G485" s="32"/>
      <c r="H485" s="32"/>
      <c r="I485" s="32"/>
      <c r="J485" s="32"/>
    </row>
    <row r="486">
      <c r="A486" s="31"/>
      <c r="B486" s="32"/>
      <c r="C486" s="35" t="str">
        <f t="array" ref="C486">IF(INDEX(B:B,ROW())="","",VLOOKUP(INDEX(B:B,ROW()),'Produtos Bazar'!$A$8:$K$107,2,FALSE))</f>
        <v/>
      </c>
      <c r="D486" s="37"/>
      <c r="E486" s="43" t="str">
        <f t="array" ref="E486">IF(INDEX(B:B,ROW())="","",VLOOKUP(INDEX(B:B,ROW()),'Produtos Bazar'!$A$8:$K$107,11,FALSE))</f>
        <v/>
      </c>
      <c r="F486" s="43" t="str">
        <f t="shared" si="1"/>
        <v/>
      </c>
      <c r="G486" s="32"/>
      <c r="H486" s="32"/>
      <c r="I486" s="32"/>
      <c r="J486" s="32"/>
    </row>
    <row r="487">
      <c r="A487" s="31"/>
      <c r="B487" s="32"/>
      <c r="C487" s="35" t="str">
        <f t="array" ref="C487">IF(INDEX(B:B,ROW())="","",VLOOKUP(INDEX(B:B,ROW()),'Produtos Bazar'!$A$8:$K$107,2,FALSE))</f>
        <v/>
      </c>
      <c r="D487" s="37"/>
      <c r="E487" s="43" t="str">
        <f t="array" ref="E487">IF(INDEX(B:B,ROW())="","",VLOOKUP(INDEX(B:B,ROW()),'Produtos Bazar'!$A$8:$K$107,11,FALSE))</f>
        <v/>
      </c>
      <c r="F487" s="43" t="str">
        <f t="shared" si="1"/>
        <v/>
      </c>
      <c r="G487" s="32"/>
      <c r="H487" s="32"/>
      <c r="I487" s="32"/>
      <c r="J487" s="32"/>
    </row>
    <row r="488">
      <c r="A488" s="31"/>
      <c r="B488" s="32"/>
      <c r="C488" s="35" t="str">
        <f t="array" ref="C488">IF(INDEX(B:B,ROW())="","",VLOOKUP(INDEX(B:B,ROW()),'Produtos Bazar'!$A$8:$K$107,2,FALSE))</f>
        <v/>
      </c>
      <c r="D488" s="37"/>
      <c r="E488" s="43" t="str">
        <f t="array" ref="E488">IF(INDEX(B:B,ROW())="","",VLOOKUP(INDEX(B:B,ROW()),'Produtos Bazar'!$A$8:$K$107,11,FALSE))</f>
        <v/>
      </c>
      <c r="F488" s="43" t="str">
        <f t="shared" si="1"/>
        <v/>
      </c>
      <c r="G488" s="32"/>
      <c r="H488" s="32"/>
      <c r="I488" s="32"/>
      <c r="J488" s="32"/>
    </row>
    <row r="489">
      <c r="A489" s="31"/>
      <c r="B489" s="32"/>
      <c r="C489" s="35" t="str">
        <f t="array" ref="C489">IF(INDEX(B:B,ROW())="","",VLOOKUP(INDEX(B:B,ROW()),'Produtos Bazar'!$A$8:$K$107,2,FALSE))</f>
        <v/>
      </c>
      <c r="D489" s="37"/>
      <c r="E489" s="43" t="str">
        <f t="array" ref="E489">IF(INDEX(B:B,ROW())="","",VLOOKUP(INDEX(B:B,ROW()),'Produtos Bazar'!$A$8:$K$107,11,FALSE))</f>
        <v/>
      </c>
      <c r="F489" s="43" t="str">
        <f t="shared" si="1"/>
        <v/>
      </c>
      <c r="G489" s="32"/>
      <c r="H489" s="32"/>
      <c r="I489" s="32"/>
      <c r="J489" s="32"/>
    </row>
    <row r="490">
      <c r="A490" s="31"/>
      <c r="B490" s="32"/>
      <c r="C490" s="35" t="str">
        <f t="array" ref="C490">IF(INDEX(B:B,ROW())="","",VLOOKUP(INDEX(B:B,ROW()),'Produtos Bazar'!$A$8:$K$107,2,FALSE))</f>
        <v/>
      </c>
      <c r="D490" s="37"/>
      <c r="E490" s="43" t="str">
        <f t="array" ref="E490">IF(INDEX(B:B,ROW())="","",VLOOKUP(INDEX(B:B,ROW()),'Produtos Bazar'!$A$8:$K$107,11,FALSE))</f>
        <v/>
      </c>
      <c r="F490" s="43" t="str">
        <f t="shared" si="1"/>
        <v/>
      </c>
      <c r="G490" s="32"/>
      <c r="H490" s="32"/>
      <c r="I490" s="32"/>
      <c r="J490" s="32"/>
    </row>
    <row r="491">
      <c r="A491" s="31"/>
      <c r="B491" s="32"/>
      <c r="C491" s="35" t="str">
        <f t="array" ref="C491">IF(INDEX(B:B,ROW())="","",VLOOKUP(INDEX(B:B,ROW()),'Produtos Bazar'!$A$8:$K$107,2,FALSE))</f>
        <v/>
      </c>
      <c r="D491" s="37"/>
      <c r="E491" s="43" t="str">
        <f t="array" ref="E491">IF(INDEX(B:B,ROW())="","",VLOOKUP(INDEX(B:B,ROW()),'Produtos Bazar'!$A$8:$K$107,11,FALSE))</f>
        <v/>
      </c>
      <c r="F491" s="43" t="str">
        <f t="shared" si="1"/>
        <v/>
      </c>
      <c r="G491" s="32"/>
      <c r="H491" s="32"/>
      <c r="I491" s="32"/>
      <c r="J491" s="32"/>
    </row>
    <row r="492">
      <c r="A492" s="31"/>
      <c r="B492" s="32"/>
      <c r="C492" s="35" t="str">
        <f t="array" ref="C492">IF(INDEX(B:B,ROW())="","",VLOOKUP(INDEX(B:B,ROW()),'Produtos Bazar'!$A$8:$K$107,2,FALSE))</f>
        <v/>
      </c>
      <c r="D492" s="37"/>
      <c r="E492" s="43" t="str">
        <f t="array" ref="E492">IF(INDEX(B:B,ROW())="","",VLOOKUP(INDEX(B:B,ROW()),'Produtos Bazar'!$A$8:$K$107,11,FALSE))</f>
        <v/>
      </c>
      <c r="F492" s="43" t="str">
        <f t="shared" si="1"/>
        <v/>
      </c>
      <c r="G492" s="32"/>
      <c r="H492" s="32"/>
      <c r="I492" s="32"/>
      <c r="J492" s="32"/>
    </row>
    <row r="493">
      <c r="A493" s="31"/>
      <c r="B493" s="32"/>
      <c r="C493" s="35" t="str">
        <f t="array" ref="C493">IF(INDEX(B:B,ROW())="","",VLOOKUP(INDEX(B:B,ROW()),'Produtos Bazar'!$A$8:$K$107,2,FALSE))</f>
        <v/>
      </c>
      <c r="D493" s="37"/>
      <c r="E493" s="43" t="str">
        <f t="array" ref="E493">IF(INDEX(B:B,ROW())="","",VLOOKUP(INDEX(B:B,ROW()),'Produtos Bazar'!$A$8:$K$107,11,FALSE))</f>
        <v/>
      </c>
      <c r="F493" s="43" t="str">
        <f t="shared" si="1"/>
        <v/>
      </c>
      <c r="G493" s="32"/>
      <c r="H493" s="32"/>
      <c r="I493" s="32"/>
      <c r="J493" s="32"/>
    </row>
    <row r="494">
      <c r="A494" s="31"/>
      <c r="B494" s="32"/>
      <c r="C494" s="35" t="str">
        <f t="array" ref="C494">IF(INDEX(B:B,ROW())="","",VLOOKUP(INDEX(B:B,ROW()),'Produtos Bazar'!$A$8:$K$107,2,FALSE))</f>
        <v/>
      </c>
      <c r="D494" s="37"/>
      <c r="E494" s="43" t="str">
        <f t="array" ref="E494">IF(INDEX(B:B,ROW())="","",VLOOKUP(INDEX(B:B,ROW()),'Produtos Bazar'!$A$8:$K$107,11,FALSE))</f>
        <v/>
      </c>
      <c r="F494" s="43" t="str">
        <f t="shared" si="1"/>
        <v/>
      </c>
      <c r="G494" s="32"/>
      <c r="H494" s="32"/>
      <c r="I494" s="32"/>
      <c r="J494" s="32"/>
    </row>
    <row r="495">
      <c r="A495" s="31"/>
      <c r="B495" s="32"/>
      <c r="C495" s="35" t="str">
        <f t="array" ref="C495">IF(INDEX(B:B,ROW())="","",VLOOKUP(INDEX(B:B,ROW()),'Produtos Bazar'!$A$8:$K$107,2,FALSE))</f>
        <v/>
      </c>
      <c r="D495" s="37"/>
      <c r="E495" s="43" t="str">
        <f t="array" ref="E495">IF(INDEX(B:B,ROW())="","",VLOOKUP(INDEX(B:B,ROW()),'Produtos Bazar'!$A$8:$K$107,11,FALSE))</f>
        <v/>
      </c>
      <c r="F495" s="43" t="str">
        <f t="shared" si="1"/>
        <v/>
      </c>
      <c r="G495" s="32"/>
      <c r="H495" s="32"/>
      <c r="I495" s="32"/>
      <c r="J495" s="32"/>
    </row>
    <row r="496">
      <c r="A496" s="31"/>
      <c r="B496" s="32"/>
      <c r="C496" s="35" t="str">
        <f t="array" ref="C496">IF(INDEX(B:B,ROW())="","",VLOOKUP(INDEX(B:B,ROW()),'Produtos Bazar'!$A$8:$K$107,2,FALSE))</f>
        <v/>
      </c>
      <c r="D496" s="37"/>
      <c r="E496" s="43" t="str">
        <f t="array" ref="E496">IF(INDEX(B:B,ROW())="","",VLOOKUP(INDEX(B:B,ROW()),'Produtos Bazar'!$A$8:$K$107,11,FALSE))</f>
        <v/>
      </c>
      <c r="F496" s="43" t="str">
        <f t="shared" si="1"/>
        <v/>
      </c>
      <c r="G496" s="32"/>
      <c r="H496" s="32"/>
      <c r="I496" s="32"/>
      <c r="J496" s="32"/>
    </row>
    <row r="497">
      <c r="A497" s="31"/>
      <c r="B497" s="32"/>
      <c r="C497" s="35" t="str">
        <f t="array" ref="C497">IF(INDEX(B:B,ROW())="","",VLOOKUP(INDEX(B:B,ROW()),'Produtos Bazar'!$A$8:$K$107,2,FALSE))</f>
        <v/>
      </c>
      <c r="D497" s="37"/>
      <c r="E497" s="43" t="str">
        <f t="array" ref="E497">IF(INDEX(B:B,ROW())="","",VLOOKUP(INDEX(B:B,ROW()),'Produtos Bazar'!$A$8:$K$107,11,FALSE))</f>
        <v/>
      </c>
      <c r="F497" s="43" t="str">
        <f t="shared" si="1"/>
        <v/>
      </c>
      <c r="G497" s="32"/>
      <c r="H497" s="32"/>
      <c r="I497" s="32"/>
      <c r="J497" s="32"/>
    </row>
    <row r="498">
      <c r="A498" s="31"/>
      <c r="B498" s="32"/>
      <c r="C498" s="35" t="str">
        <f t="array" ref="C498">IF(INDEX(B:B,ROW())="","",VLOOKUP(INDEX(B:B,ROW()),'Produtos Bazar'!$A$8:$K$107,2,FALSE))</f>
        <v/>
      </c>
      <c r="D498" s="37"/>
      <c r="E498" s="43" t="str">
        <f t="array" ref="E498">IF(INDEX(B:B,ROW())="","",VLOOKUP(INDEX(B:B,ROW()),'Produtos Bazar'!$A$8:$K$107,11,FALSE))</f>
        <v/>
      </c>
      <c r="F498" s="43" t="str">
        <f t="shared" si="1"/>
        <v/>
      </c>
      <c r="G498" s="32"/>
      <c r="H498" s="32"/>
      <c r="I498" s="32"/>
      <c r="J498" s="32"/>
    </row>
    <row r="499">
      <c r="A499" s="31"/>
      <c r="B499" s="32"/>
      <c r="C499" s="35" t="str">
        <f t="array" ref="C499">IF(INDEX(B:B,ROW())="","",VLOOKUP(INDEX(B:B,ROW()),'Produtos Bazar'!$A$8:$K$107,2,FALSE))</f>
        <v/>
      </c>
      <c r="D499" s="37"/>
      <c r="E499" s="43" t="str">
        <f t="array" ref="E499">IF(INDEX(B:B,ROW())="","",VLOOKUP(INDEX(B:B,ROW()),'Produtos Bazar'!$A$8:$K$107,11,FALSE))</f>
        <v/>
      </c>
      <c r="F499" s="43" t="str">
        <f t="shared" si="1"/>
        <v/>
      </c>
      <c r="G499" s="32"/>
      <c r="H499" s="32"/>
      <c r="I499" s="32"/>
      <c r="J499" s="32"/>
    </row>
    <row r="500">
      <c r="A500" s="31"/>
      <c r="B500" s="32"/>
      <c r="C500" s="35" t="str">
        <f t="array" ref="C500">IF(INDEX(B:B,ROW())="","",VLOOKUP(INDEX(B:B,ROW()),'Produtos Bazar'!$A$8:$K$107,2,FALSE))</f>
        <v/>
      </c>
      <c r="D500" s="37"/>
      <c r="E500" s="43" t="str">
        <f t="array" ref="E500">IF(INDEX(B:B,ROW())="","",VLOOKUP(INDEX(B:B,ROW()),'Produtos Bazar'!$A$8:$K$107,11,FALSE))</f>
        <v/>
      </c>
      <c r="F500" s="43" t="str">
        <f t="shared" si="1"/>
        <v/>
      </c>
      <c r="G500" s="32"/>
      <c r="H500" s="32"/>
      <c r="I500" s="32"/>
      <c r="J500" s="32"/>
    </row>
    <row r="501">
      <c r="A501" s="31"/>
      <c r="B501" s="32"/>
      <c r="C501" s="35" t="str">
        <f t="array" ref="C501">IF(INDEX(B:B,ROW())="","",VLOOKUP(INDEX(B:B,ROW()),'Produtos Bazar'!$A$8:$K$107,2,FALSE))</f>
        <v/>
      </c>
      <c r="D501" s="37"/>
      <c r="E501" s="43" t="str">
        <f t="array" ref="E501">IF(INDEX(B:B,ROW())="","",VLOOKUP(INDEX(B:B,ROW()),'Produtos Bazar'!$A$8:$K$107,11,FALSE))</f>
        <v/>
      </c>
      <c r="F501" s="43" t="str">
        <f t="shared" si="1"/>
        <v/>
      </c>
      <c r="G501" s="32"/>
      <c r="H501" s="32"/>
      <c r="I501" s="32"/>
      <c r="J501" s="32"/>
    </row>
    <row r="502">
      <c r="A502" s="31"/>
      <c r="B502" s="32"/>
      <c r="C502" s="35" t="str">
        <f t="array" ref="C502">IF(INDEX(B:B,ROW())="","",VLOOKUP(INDEX(B:B,ROW()),'Produtos Bazar'!$A$8:$K$107,2,FALSE))</f>
        <v/>
      </c>
      <c r="D502" s="37"/>
      <c r="E502" s="43" t="str">
        <f t="array" ref="E502">IF(INDEX(B:B,ROW())="","",VLOOKUP(INDEX(B:B,ROW()),'Produtos Bazar'!$A$8:$K$107,11,FALSE))</f>
        <v/>
      </c>
      <c r="F502" s="43" t="str">
        <f t="shared" si="1"/>
        <v/>
      </c>
      <c r="G502" s="32"/>
      <c r="H502" s="32"/>
      <c r="I502" s="32"/>
      <c r="J502" s="32"/>
    </row>
    <row r="503">
      <c r="A503" s="31"/>
      <c r="B503" s="32"/>
      <c r="C503" s="35" t="str">
        <f t="array" ref="C503">IF(INDEX(B:B,ROW())="","",VLOOKUP(INDEX(B:B,ROW()),'Produtos Bazar'!$A$8:$K$107,2,FALSE))</f>
        <v/>
      </c>
      <c r="D503" s="37"/>
      <c r="E503" s="43" t="str">
        <f t="array" ref="E503">IF(INDEX(B:B,ROW())="","",VLOOKUP(INDEX(B:B,ROW()),'Produtos Bazar'!$A$8:$K$107,11,FALSE))</f>
        <v/>
      </c>
      <c r="F503" s="43" t="str">
        <f t="shared" si="1"/>
        <v/>
      </c>
      <c r="G503" s="32"/>
      <c r="H503" s="32"/>
      <c r="I503" s="32"/>
      <c r="J503" s="32"/>
    </row>
    <row r="504">
      <c r="A504" s="62"/>
      <c r="B504" s="63"/>
      <c r="C504" s="35" t="str">
        <f t="array" ref="C504">IF(INDEX(B:B,ROW())="","",VLOOKUP(INDEX(B:B,ROW()),'Produtos Bazar'!$A$8:$K$107,2,FALSE))</f>
        <v/>
      </c>
      <c r="D504" s="64"/>
      <c r="E504" s="43" t="str">
        <f t="array" ref="E504">IF(INDEX(B:B,ROW())="","",VLOOKUP(INDEX(B:B,ROW()),'Produtos Bazar'!$A$8:$K$107,11,FALSE))</f>
        <v/>
      </c>
      <c r="F504" s="43" t="str">
        <f t="shared" si="1"/>
        <v/>
      </c>
      <c r="G504" s="63"/>
      <c r="H504" s="63"/>
      <c r="I504" s="63"/>
      <c r="J504" s="63"/>
    </row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12.63"/>
  </cols>
  <sheetData>
    <row r="1">
      <c r="A1" s="3" t="s">
        <v>2</v>
      </c>
      <c r="B1" s="6"/>
      <c r="C1" s="6"/>
      <c r="D1" s="6"/>
      <c r="E1" s="6"/>
      <c r="F1" s="6"/>
      <c r="G1" s="6"/>
      <c r="H1" s="6"/>
    </row>
    <row r="2">
      <c r="A2" s="7" t="s">
        <v>3</v>
      </c>
    </row>
    <row r="3"/>
    <row r="4">
      <c r="A4" s="10" t="s">
        <v>6</v>
      </c>
      <c r="B4" s="12"/>
    </row>
    <row r="5" ht="112.5" customHeight="1">
      <c r="A5" s="14"/>
      <c r="B5" s="19" t="s">
        <v>8</v>
      </c>
    </row>
    <row r="6"/>
    <row r="7"/>
    <row r="8">
      <c r="A8" s="20" t="s">
        <v>10</v>
      </c>
      <c r="B8" s="22"/>
    </row>
    <row r="9">
      <c r="A9" s="23" t="s">
        <v>13</v>
      </c>
      <c r="B9" s="24"/>
    </row>
    <row r="10" ht="180.0" customHeight="1">
      <c r="A10" s="27"/>
      <c r="B10" s="34" t="str">
        <f>"🌸 *BAZAR PURE PROMOÇÕES* 🌸"&amp;CHAR(10)&amp;CHAR(10)&amp;"Produtos originais com preço especial por avaria na caixa/embalagem durante o transporte."&amp;CHAR(10)&amp;"Consulte condição e fotos de cada item."&amp;CHAR(10)&amp;CHAR(10)&amp;TEXTJOIN(CHAR(10)&amp;CHAR(10),TRUE,B14:B113)&amp;CHAR(10)&amp;CHAR(10)&amp;"📲 Para reservar, envie o código ou nome do produto no grupo."&amp;CHAR(10)&amp;"⏳ Estoque sujeito à disponibilidade."</f>
        <v>🌸 *BAZAR PURE PROMOÇÕES* 🌸
Produtos originais com preço especial por avaria na caixa/embalagem durante o transporte.
Consulte condição e fotos de cada item.
📲 Para reservar, envie o código ou nome do produto no grupo.
⏳ Estoque sujeito à disponibilidade.</v>
      </c>
    </row>
    <row r="11"/>
    <row r="12">
      <c r="A12" s="7" t="s">
        <v>28</v>
      </c>
    </row>
    <row r="13"/>
    <row r="14">
      <c r="B14" s="35" t="str">
        <f t="array" ref="B14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5">
      <c r="B15" s="35" t="str">
        <f t="array" ref="B15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6">
      <c r="B16" s="35" t="str">
        <f t="array" ref="B16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7">
      <c r="B17" s="35" t="str">
        <f t="array" ref="B17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8">
      <c r="B18" s="35" t="str">
        <f t="array" ref="B18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9">
      <c r="B19" s="35" t="str">
        <f t="array" ref="B19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20">
      <c r="B20" s="35" t="str">
        <f t="array" ref="B20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21">
      <c r="B21" s="35" t="str">
        <f t="array" ref="B21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22">
      <c r="B22" s="35" t="str">
        <f t="array" ref="B22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23">
      <c r="B23" s="35" t="str">
        <f t="array" ref="B23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24">
      <c r="B24" s="35" t="str">
        <f t="array" ref="B24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25">
      <c r="B25" s="35" t="str">
        <f t="array" ref="B25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26">
      <c r="B26" s="35" t="str">
        <f t="array" ref="B26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27">
      <c r="B27" s="35" t="str">
        <f t="array" ref="B27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28">
      <c r="B28" s="35" t="str">
        <f t="array" ref="B28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29">
      <c r="B29" s="35" t="str">
        <f t="array" ref="B29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30">
      <c r="B30" s="35" t="str">
        <f t="array" ref="B30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31">
      <c r="B31" s="35" t="str">
        <f t="array" ref="B31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32">
      <c r="B32" s="35" t="str">
        <f t="array" ref="B32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33">
      <c r="B33" s="35" t="str">
        <f t="array" ref="B33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34">
      <c r="B34" s="35" t="str">
        <f t="array" ref="B34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35">
      <c r="B35" s="35" t="str">
        <f t="array" ref="B35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36">
      <c r="B36" s="35" t="str">
        <f t="array" ref="B36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37">
      <c r="B37" s="35" t="str">
        <f t="array" ref="B37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38">
      <c r="B38" s="35" t="str">
        <f t="array" ref="B38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39">
      <c r="B39" s="35" t="str">
        <f t="array" ref="B39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40">
      <c r="B40" s="35" t="str">
        <f t="array" ref="B40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41">
      <c r="B41" s="35" t="str">
        <f t="array" ref="B41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42">
      <c r="B42" s="35" t="str">
        <f t="array" ref="B42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43">
      <c r="B43" s="35" t="str">
        <f t="array" ref="B43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44">
      <c r="B44" s="35" t="str">
        <f t="array" ref="B44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45">
      <c r="B45" s="35" t="str">
        <f t="array" ref="B45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46">
      <c r="B46" s="35" t="str">
        <f t="array" ref="B46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47">
      <c r="B47" s="35" t="str">
        <f t="array" ref="B47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48">
      <c r="B48" s="35" t="str">
        <f t="array" ref="B48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49">
      <c r="B49" s="35" t="str">
        <f t="array" ref="B49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50">
      <c r="B50" s="35" t="str">
        <f t="array" ref="B50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51">
      <c r="B51" s="35" t="str">
        <f t="array" ref="B51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52">
      <c r="B52" s="35" t="str">
        <f t="array" ref="B52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53">
      <c r="B53" s="35" t="str">
        <f t="array" ref="B53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54">
      <c r="B54" s="35" t="str">
        <f t="array" ref="B54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55">
      <c r="B55" s="35" t="str">
        <f t="array" ref="B55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56">
      <c r="B56" s="35" t="str">
        <f t="array" ref="B56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57">
      <c r="B57" s="35" t="str">
        <f t="array" ref="B57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58">
      <c r="B58" s="35" t="str">
        <f t="array" ref="B58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59">
      <c r="B59" s="35" t="str">
        <f t="array" ref="B59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60">
      <c r="B60" s="35" t="str">
        <f t="array" ref="B60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61">
      <c r="B61" s="35" t="str">
        <f t="array" ref="B61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62">
      <c r="B62" s="35" t="str">
        <f t="array" ref="B62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63">
      <c r="B63" s="35" t="str">
        <f t="array" ref="B63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64">
      <c r="B64" s="35" t="str">
        <f t="array" ref="B64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65">
      <c r="B65" s="35" t="str">
        <f t="array" ref="B65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66">
      <c r="B66" s="35" t="str">
        <f t="array" ref="B66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67">
      <c r="B67" s="35" t="str">
        <f t="array" ref="B67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68">
      <c r="B68" s="35" t="str">
        <f t="array" ref="B68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69">
      <c r="B69" s="35" t="str">
        <f t="array" ref="B69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70">
      <c r="B70" s="35" t="str">
        <f t="array" ref="B70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71">
      <c r="B71" s="35" t="str">
        <f t="array" ref="B71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72">
      <c r="B72" s="35" t="str">
        <f t="array" ref="B72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73">
      <c r="B73" s="35" t="str">
        <f t="array" ref="B73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74">
      <c r="B74" s="35" t="str">
        <f t="array" ref="B74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75">
      <c r="B75" s="35" t="str">
        <f t="array" ref="B75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76">
      <c r="B76" s="35" t="str">
        <f t="array" ref="B76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77">
      <c r="B77" s="35" t="str">
        <f t="array" ref="B77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78">
      <c r="B78" s="35" t="str">
        <f t="array" ref="B78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79">
      <c r="B79" s="35" t="str">
        <f t="array" ref="B79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80">
      <c r="B80" s="35" t="str">
        <f t="array" ref="B80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81">
      <c r="B81" s="35" t="str">
        <f t="array" ref="B81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82">
      <c r="B82" s="35" t="str">
        <f t="array" ref="B82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83">
      <c r="B83" s="35" t="str">
        <f t="array" ref="B83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84">
      <c r="B84" s="35" t="str">
        <f t="array" ref="B84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85">
      <c r="B85" s="35" t="str">
        <f t="array" ref="B85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86">
      <c r="B86" s="35" t="str">
        <f t="array" ref="B86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87">
      <c r="B87" s="35" t="str">
        <f t="array" ref="B87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88">
      <c r="B88" s="35" t="str">
        <f t="array" ref="B88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89">
      <c r="B89" s="35" t="str">
        <f t="array" ref="B89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90">
      <c r="B90" s="35" t="str">
        <f t="array" ref="B90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91">
      <c r="B91" s="35" t="str">
        <f t="array" ref="B91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92">
      <c r="B92" s="35" t="str">
        <f t="array" ref="B92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93">
      <c r="B93" s="35" t="str">
        <f t="array" ref="B93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94">
      <c r="B94" s="35" t="str">
        <f t="array" ref="B94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95">
      <c r="B95" s="35" t="str">
        <f t="array" ref="B95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96">
      <c r="B96" s="35" t="str">
        <f t="array" ref="B96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97">
      <c r="B97" s="35" t="str">
        <f t="array" ref="B97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98">
      <c r="B98" s="35" t="str">
        <f t="array" ref="B98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99">
      <c r="B99" s="35" t="str">
        <f t="array" ref="B99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00">
      <c r="B100" s="35" t="str">
        <f t="array" ref="B100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01">
      <c r="B101" s="35" t="str">
        <f t="array" ref="B101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02">
      <c r="B102" s="35" t="str">
        <f t="array" ref="B102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03">
      <c r="B103" s="35" t="str">
        <f t="array" ref="B103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04">
      <c r="B104" s="35" t="str">
        <f t="array" ref="B104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05">
      <c r="B105" s="35" t="str">
        <f t="array" ref="B105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06">
      <c r="B106" s="35" t="str">
        <f t="array" ref="B106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07">
      <c r="B107" s="35" t="str">
        <f t="array" ref="B107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08">
      <c r="B108" s="35" t="str">
        <f t="array" ref="B108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09">
      <c r="B109" s="35" t="str">
        <f t="array" ref="B109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10">
      <c r="B110" s="35" t="str">
        <f t="array" ref="B110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11">
      <c r="B111" s="35" t="str">
        <f t="array" ref="B111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12">
      <c r="B112" s="35" t="str">
        <f t="array" ref="B112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13">
      <c r="B113" s="35" t="str">
        <f t="array" ref="B113">IF(INDEX('Produtos Bazar'!A:A,ROW()-6)="","","✨ *"&amp;INDEX('Produtos Bazar'!B:B,ROW()-6)&amp;"*"&amp;IF(INDEX('Produtos Bazar'!C:C,ROW()-6)&lt;&gt;""," | "&amp;INDEX('Produtos Bazar'!C:C,ROW()-6),"")&amp;IF(INDEX('Produtos Bazar'!E:E,ROW()-6)&lt;&gt;""," | "&amp;INDEX('Produtos Bazar'!E:E,ROW()-6),"")&amp;CHAR(10)&amp;"Código: "&amp;INDEX('Produtos Bazar'!A:A,ROW()-6)&amp;CHAR(10)&amp;"Condição: "&amp;INDEX('Produtos Bazar'!F:F,ROW()-6)&amp;CHAR(10)&amp;"De: "&amp;TEXT(INDEX('Produtos Bazar'!J:J,ROW()-6),"R$ #,##0.00")&amp;" | *Por: "&amp;TEXT(INDEX('Produtos Bazar'!K:K,ROW()-6),"R$ #,##0.00")&amp;"* ("&amp;TEXT(INDEX('Produtos Bazar'!L:L,ROW()-6),"0%")&amp;" OFF)"&amp;CHAR(10)&amp;"Disponível: "&amp;INDEX('Produtos Bazar'!I:I,ROW()-6)&amp;" un. | "&amp;INDEX('Produtos Bazar'!M:M,ROW()-6))</f>
        <v/>
      </c>
    </row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